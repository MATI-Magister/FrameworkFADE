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1" documentId="11_C00BB4797909001AD0D72A50FC3DAB9E9A1BE23E" xr6:coauthVersionLast="47" xr6:coauthVersionMax="47" xr10:uidLastSave="{CCFCA60B-5FBE-4B43-B851-3D78CBE09CDF}"/>
  <bookViews>
    <workbookView xWindow="0" yWindow="0" windowWidth="16384" windowHeight="8192" tabRatio="500" firstSheet="4" activeTab="2" xr2:uid="{00000000-000D-0000-FFFF-FFFF00000000}"/>
  </bookViews>
  <sheets>
    <sheet name="Guia" sheetId="1" r:id="rId1"/>
    <sheet name="Dimensiones" sheetId="2" r:id="rId2"/>
    <sheet name="Rubricas" sheetId="3" r:id="rId3"/>
    <sheet name="Parametros" sheetId="4" r:id="rId4"/>
    <sheet name="Ficha" sheetId="5" r:id="rId5"/>
    <sheet name="Ejemplo" sheetId="6" r:id="rId6"/>
    <sheet name="Resultados" sheetId="7" r:id="rId7"/>
    <sheet name="Glosario" sheetId="8" r:id="rId8"/>
  </sheets>
  <definedNames>
    <definedName name="_xlnm._FilterDatabase" localSheetId="2" hidden="1">Rubricas!$A$3:$P$112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08" i="7" l="1"/>
  <c r="D108" i="7"/>
  <c r="C108" i="7"/>
  <c r="B108" i="7"/>
  <c r="O107" i="7"/>
  <c r="D107" i="7"/>
  <c r="C107" i="7"/>
  <c r="B107" i="7"/>
  <c r="O106" i="7"/>
  <c r="D106" i="7"/>
  <c r="C106" i="7"/>
  <c r="B106" i="7"/>
  <c r="O105" i="7"/>
  <c r="D105" i="7"/>
  <c r="C105" i="7"/>
  <c r="B105" i="7"/>
  <c r="O104" i="7"/>
  <c r="D104" i="7"/>
  <c r="C104" i="7"/>
  <c r="B104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C52" i="7"/>
  <c r="M26" i="7"/>
  <c r="L26" i="7"/>
  <c r="K26" i="7"/>
  <c r="J26" i="7"/>
  <c r="I26" i="7"/>
  <c r="H26" i="7"/>
  <c r="N26" i="7" s="1"/>
  <c r="M25" i="7"/>
  <c r="L25" i="7"/>
  <c r="K25" i="7"/>
  <c r="J25" i="7"/>
  <c r="I25" i="7"/>
  <c r="H25" i="7"/>
  <c r="N25" i="7" s="1"/>
  <c r="M24" i="7"/>
  <c r="L24" i="7"/>
  <c r="K24" i="7"/>
  <c r="J24" i="7"/>
  <c r="I24" i="7"/>
  <c r="H24" i="7"/>
  <c r="N24" i="7" s="1"/>
  <c r="M23" i="7"/>
  <c r="L23" i="7"/>
  <c r="K23" i="7"/>
  <c r="J23" i="7"/>
  <c r="I23" i="7"/>
  <c r="H23" i="7"/>
  <c r="N23" i="7" s="1"/>
  <c r="M22" i="7"/>
  <c r="L22" i="7"/>
  <c r="K22" i="7"/>
  <c r="J22" i="7"/>
  <c r="I22" i="7"/>
  <c r="H22" i="7"/>
  <c r="N22" i="7" s="1"/>
  <c r="M21" i="7"/>
  <c r="L21" i="7"/>
  <c r="K21" i="7"/>
  <c r="J21" i="7"/>
  <c r="I21" i="7"/>
  <c r="H21" i="7"/>
  <c r="N21" i="7" s="1"/>
  <c r="M20" i="7"/>
  <c r="L20" i="7"/>
  <c r="K20" i="7"/>
  <c r="J20" i="7"/>
  <c r="I20" i="7"/>
  <c r="H20" i="7"/>
  <c r="N20" i="7" s="1"/>
  <c r="M19" i="7"/>
  <c r="L19" i="7"/>
  <c r="K19" i="7"/>
  <c r="J19" i="7"/>
  <c r="I19" i="7"/>
  <c r="H19" i="7"/>
  <c r="N19" i="7" s="1"/>
  <c r="M18" i="7"/>
  <c r="L18" i="7"/>
  <c r="K18" i="7"/>
  <c r="J18" i="7"/>
  <c r="I18" i="7"/>
  <c r="H18" i="7"/>
  <c r="N18" i="7" s="1"/>
  <c r="M17" i="7"/>
  <c r="L17" i="7"/>
  <c r="K17" i="7"/>
  <c r="J17" i="7"/>
  <c r="I17" i="7"/>
  <c r="H17" i="7"/>
  <c r="N17" i="7" s="1"/>
  <c r="M16" i="7"/>
  <c r="M27" i="7" s="1"/>
  <c r="L16" i="7"/>
  <c r="L27" i="7" s="1"/>
  <c r="K16" i="7"/>
  <c r="K27" i="7" s="1"/>
  <c r="J16" i="7"/>
  <c r="J27" i="7" s="1"/>
  <c r="I16" i="7"/>
  <c r="I27" i="7" s="1"/>
  <c r="H16" i="7"/>
  <c r="C9" i="7"/>
  <c r="C8" i="7"/>
  <c r="C7" i="7"/>
  <c r="C6" i="7"/>
  <c r="C5" i="7"/>
  <c r="K199" i="6"/>
  <c r="J199" i="6"/>
  <c r="E199" i="6"/>
  <c r="J198" i="6"/>
  <c r="E198" i="6"/>
  <c r="J197" i="6"/>
  <c r="E197" i="6"/>
  <c r="J196" i="6"/>
  <c r="E196" i="6"/>
  <c r="J195" i="6"/>
  <c r="E195" i="6"/>
  <c r="J194" i="6"/>
  <c r="E194" i="6"/>
  <c r="J193" i="6"/>
  <c r="E193" i="6"/>
  <c r="A192" i="6"/>
  <c r="J191" i="6"/>
  <c r="E191" i="6"/>
  <c r="J190" i="6"/>
  <c r="E190" i="6"/>
  <c r="J189" i="6"/>
  <c r="E189" i="6"/>
  <c r="J188" i="6"/>
  <c r="E188" i="6"/>
  <c r="J187" i="6"/>
  <c r="E187" i="6"/>
  <c r="K186" i="6"/>
  <c r="J186" i="6"/>
  <c r="E186" i="6"/>
  <c r="A185" i="6"/>
  <c r="J184" i="6"/>
  <c r="E184" i="6"/>
  <c r="K183" i="6"/>
  <c r="J183" i="6"/>
  <c r="E183" i="6"/>
  <c r="J182" i="6"/>
  <c r="E182" i="6"/>
  <c r="J181" i="6"/>
  <c r="E181" i="6"/>
  <c r="K180" i="6"/>
  <c r="J180" i="6"/>
  <c r="E180" i="6"/>
  <c r="J179" i="6"/>
  <c r="E179" i="6"/>
  <c r="J178" i="6"/>
  <c r="E178" i="6"/>
  <c r="J177" i="6"/>
  <c r="E177" i="6"/>
  <c r="A176" i="6"/>
  <c r="J175" i="6"/>
  <c r="E175" i="6"/>
  <c r="J174" i="6"/>
  <c r="E174" i="6"/>
  <c r="J173" i="6"/>
  <c r="E173" i="6"/>
  <c r="J172" i="6"/>
  <c r="E172" i="6"/>
  <c r="J171" i="6"/>
  <c r="E171" i="6"/>
  <c r="J170" i="6"/>
  <c r="E170" i="6"/>
  <c r="J169" i="6"/>
  <c r="E169" i="6"/>
  <c r="J168" i="6"/>
  <c r="E168" i="6"/>
  <c r="J167" i="6"/>
  <c r="E167" i="6"/>
  <c r="K166" i="6"/>
  <c r="J166" i="6"/>
  <c r="E166" i="6"/>
  <c r="K165" i="6"/>
  <c r="J165" i="6"/>
  <c r="E165" i="6"/>
  <c r="A164" i="6"/>
  <c r="J163" i="6"/>
  <c r="E163" i="6"/>
  <c r="J162" i="6"/>
  <c r="E162" i="6"/>
  <c r="J161" i="6"/>
  <c r="E161" i="6"/>
  <c r="J160" i="6"/>
  <c r="E160" i="6"/>
  <c r="K159" i="6"/>
  <c r="J159" i="6"/>
  <c r="E159" i="6"/>
  <c r="J158" i="6"/>
  <c r="E158" i="6"/>
  <c r="K157" i="6"/>
  <c r="J157" i="6"/>
  <c r="E157" i="6"/>
  <c r="A156" i="6"/>
  <c r="J155" i="6"/>
  <c r="E155" i="6"/>
  <c r="J154" i="6"/>
  <c r="E154" i="6"/>
  <c r="K153" i="6"/>
  <c r="J153" i="6"/>
  <c r="I153" i="6"/>
  <c r="H153" i="6"/>
  <c r="E153" i="6"/>
  <c r="J152" i="6"/>
  <c r="E152" i="6"/>
  <c r="J151" i="6"/>
  <c r="E151" i="6"/>
  <c r="J150" i="6"/>
  <c r="E150" i="6"/>
  <c r="J149" i="6"/>
  <c r="E149" i="6"/>
  <c r="A148" i="6"/>
  <c r="J147" i="6"/>
  <c r="E147" i="6"/>
  <c r="K146" i="6"/>
  <c r="J146" i="6"/>
  <c r="E146" i="6"/>
  <c r="J145" i="6"/>
  <c r="E145" i="6"/>
  <c r="J144" i="6"/>
  <c r="E144" i="6"/>
  <c r="J143" i="6"/>
  <c r="E143" i="6"/>
  <c r="J142" i="6"/>
  <c r="E142" i="6"/>
  <c r="J141" i="6"/>
  <c r="E141" i="6"/>
  <c r="J140" i="6"/>
  <c r="E140" i="6"/>
  <c r="J139" i="6"/>
  <c r="E139" i="6"/>
  <c r="J138" i="6"/>
  <c r="E138" i="6"/>
  <c r="J137" i="6"/>
  <c r="E137" i="6"/>
  <c r="J136" i="6"/>
  <c r="E136" i="6"/>
  <c r="J135" i="6"/>
  <c r="E135" i="6"/>
  <c r="A134" i="6"/>
  <c r="K133" i="6"/>
  <c r="J133" i="6"/>
  <c r="E133" i="6"/>
  <c r="J132" i="6"/>
  <c r="E132" i="6"/>
  <c r="J131" i="6"/>
  <c r="E131" i="6"/>
  <c r="J130" i="6"/>
  <c r="E130" i="6"/>
  <c r="J129" i="6"/>
  <c r="E129" i="6"/>
  <c r="J128" i="6"/>
  <c r="E128" i="6"/>
  <c r="J127" i="6"/>
  <c r="E127" i="6"/>
  <c r="J126" i="6"/>
  <c r="E126" i="6"/>
  <c r="K125" i="6"/>
  <c r="J125" i="6"/>
  <c r="E125" i="6"/>
  <c r="J124" i="6"/>
  <c r="E124" i="6"/>
  <c r="J123" i="6"/>
  <c r="E123" i="6"/>
  <c r="J122" i="6"/>
  <c r="E122" i="6"/>
  <c r="A121" i="6"/>
  <c r="J120" i="6"/>
  <c r="E120" i="6"/>
  <c r="J119" i="6"/>
  <c r="E119" i="6"/>
  <c r="J118" i="6"/>
  <c r="E118" i="6"/>
  <c r="J117" i="6"/>
  <c r="E117" i="6"/>
  <c r="J116" i="6"/>
  <c r="E116" i="6"/>
  <c r="J115" i="6"/>
  <c r="E115" i="6"/>
  <c r="J114" i="6"/>
  <c r="E114" i="6"/>
  <c r="J113" i="6"/>
  <c r="E113" i="6"/>
  <c r="J112" i="6"/>
  <c r="E112" i="6"/>
  <c r="J111" i="6"/>
  <c r="E111" i="6"/>
  <c r="J110" i="6"/>
  <c r="E110" i="6"/>
  <c r="J109" i="6"/>
  <c r="E109" i="6"/>
  <c r="J108" i="6"/>
  <c r="E108" i="6"/>
  <c r="J107" i="6"/>
  <c r="E107" i="6"/>
  <c r="A106" i="6"/>
  <c r="J105" i="6"/>
  <c r="E105" i="6"/>
  <c r="K104" i="6"/>
  <c r="J104" i="6"/>
  <c r="E104" i="6"/>
  <c r="J103" i="6"/>
  <c r="E103" i="6"/>
  <c r="J102" i="6"/>
  <c r="E102" i="6"/>
  <c r="K101" i="6"/>
  <c r="J101" i="6"/>
  <c r="E101" i="6"/>
  <c r="J100" i="6"/>
  <c r="E100" i="6"/>
  <c r="J99" i="6"/>
  <c r="E99" i="6"/>
  <c r="J98" i="6"/>
  <c r="E98" i="6"/>
  <c r="J97" i="6"/>
  <c r="E97" i="6"/>
  <c r="J96" i="6"/>
  <c r="E96" i="6"/>
  <c r="J95" i="6"/>
  <c r="E95" i="6"/>
  <c r="K94" i="6"/>
  <c r="J94" i="6"/>
  <c r="E94" i="6"/>
  <c r="A93" i="6"/>
  <c r="K92" i="6"/>
  <c r="J92" i="6"/>
  <c r="E92" i="6"/>
  <c r="K91" i="6"/>
  <c r="J91" i="6"/>
  <c r="I91" i="6"/>
  <c r="H91" i="6"/>
  <c r="E91" i="6"/>
  <c r="J90" i="6"/>
  <c r="E90" i="6"/>
  <c r="J89" i="6"/>
  <c r="E89" i="6"/>
  <c r="J88" i="6"/>
  <c r="E88" i="6"/>
  <c r="J87" i="6"/>
  <c r="E87" i="6"/>
  <c r="J86" i="6"/>
  <c r="E86" i="6"/>
  <c r="J85" i="6"/>
  <c r="E85" i="6"/>
  <c r="J84" i="6"/>
  <c r="E84" i="6"/>
  <c r="J83" i="6"/>
  <c r="E83" i="6"/>
  <c r="K82" i="6"/>
  <c r="J82" i="6"/>
  <c r="E82" i="6"/>
  <c r="J81" i="6"/>
  <c r="E81" i="6"/>
  <c r="A80" i="6"/>
  <c r="J52" i="6"/>
  <c r="H52" i="6"/>
  <c r="C26" i="7" s="1"/>
  <c r="E52" i="6"/>
  <c r="J51" i="6"/>
  <c r="H51" i="6"/>
  <c r="C25" i="7" s="1"/>
  <c r="E51" i="6"/>
  <c r="J50" i="6"/>
  <c r="H50" i="6"/>
  <c r="C24" i="7" s="1"/>
  <c r="E50" i="6"/>
  <c r="J49" i="6"/>
  <c r="H49" i="6"/>
  <c r="C23" i="7" s="1"/>
  <c r="E49" i="6"/>
  <c r="J48" i="6"/>
  <c r="H48" i="6"/>
  <c r="C22" i="7" s="1"/>
  <c r="E48" i="6"/>
  <c r="J47" i="6"/>
  <c r="H47" i="6"/>
  <c r="C21" i="7" s="1"/>
  <c r="E47" i="6"/>
  <c r="J46" i="6"/>
  <c r="H46" i="6"/>
  <c r="C20" i="7" s="1"/>
  <c r="E46" i="6"/>
  <c r="J45" i="6"/>
  <c r="H45" i="6"/>
  <c r="C19" i="7" s="1"/>
  <c r="E45" i="6"/>
  <c r="J44" i="6"/>
  <c r="H44" i="6"/>
  <c r="C18" i="7" s="1"/>
  <c r="E44" i="6"/>
  <c r="J43" i="6"/>
  <c r="H43" i="6"/>
  <c r="C17" i="7" s="1"/>
  <c r="E43" i="6"/>
  <c r="J42" i="6"/>
  <c r="H42" i="6"/>
  <c r="C16" i="7" s="1"/>
  <c r="E42" i="6"/>
  <c r="G37" i="6"/>
  <c r="C65" i="7" s="1"/>
  <c r="G36" i="6"/>
  <c r="C64" i="7" s="1"/>
  <c r="G35" i="6"/>
  <c r="C63" i="7" s="1"/>
  <c r="E34" i="6"/>
  <c r="G33" i="6"/>
  <c r="C61" i="7" s="1"/>
  <c r="G32" i="6"/>
  <c r="C60" i="7" s="1"/>
  <c r="G29" i="6"/>
  <c r="C59" i="7" s="1"/>
  <c r="G25" i="6"/>
  <c r="C58" i="7" s="1"/>
  <c r="G24" i="6"/>
  <c r="C57" i="7" s="1"/>
  <c r="G23" i="6"/>
  <c r="C56" i="7" s="1"/>
  <c r="G22" i="6"/>
  <c r="C55" i="7" s="1"/>
  <c r="G21" i="6"/>
  <c r="C54" i="7" s="1"/>
  <c r="G20" i="6"/>
  <c r="C53" i="7" s="1"/>
  <c r="G18" i="6"/>
  <c r="G15" i="6"/>
  <c r="C50" i="7" s="1"/>
  <c r="G14" i="6"/>
  <c r="C49" i="7" s="1"/>
  <c r="E17" i="4"/>
  <c r="D17" i="4"/>
  <c r="D16" i="4"/>
  <c r="E16" i="4" s="1"/>
  <c r="J14" i="2"/>
  <c r="I14" i="2"/>
  <c r="D14" i="2"/>
  <c r="J13" i="2"/>
  <c r="I13" i="2"/>
  <c r="D13" i="2"/>
  <c r="J12" i="2"/>
  <c r="I12" i="2"/>
  <c r="D12" i="2"/>
  <c r="J11" i="2"/>
  <c r="I11" i="2"/>
  <c r="D11" i="2"/>
  <c r="J10" i="2"/>
  <c r="I10" i="2"/>
  <c r="D10" i="2"/>
  <c r="J9" i="2"/>
  <c r="I9" i="2"/>
  <c r="D9" i="2"/>
  <c r="J8" i="2"/>
  <c r="I8" i="2"/>
  <c r="D8" i="2"/>
  <c r="J7" i="2"/>
  <c r="I7" i="2"/>
  <c r="D7" i="2"/>
  <c r="J6" i="2"/>
  <c r="I6" i="2"/>
  <c r="D6" i="2"/>
  <c r="J5" i="2"/>
  <c r="I5" i="2"/>
  <c r="D5" i="2"/>
  <c r="J4" i="2"/>
  <c r="I4" i="2"/>
  <c r="I15" i="2" s="1"/>
  <c r="D4" i="2"/>
  <c r="D15" i="2" s="1"/>
  <c r="K199" i="5"/>
  <c r="J199" i="5"/>
  <c r="H199" i="5"/>
  <c r="E199" i="5"/>
  <c r="I199" i="5" s="1"/>
  <c r="K198" i="5"/>
  <c r="J198" i="5"/>
  <c r="H198" i="5"/>
  <c r="E198" i="5"/>
  <c r="I198" i="5" s="1"/>
  <c r="K197" i="5"/>
  <c r="J197" i="5"/>
  <c r="H197" i="5"/>
  <c r="E197" i="5"/>
  <c r="I197" i="5" s="1"/>
  <c r="K196" i="5"/>
  <c r="J196" i="5"/>
  <c r="H196" i="5"/>
  <c r="E196" i="5"/>
  <c r="I196" i="5" s="1"/>
  <c r="K195" i="5"/>
  <c r="J195" i="5"/>
  <c r="H195" i="5"/>
  <c r="E195" i="5"/>
  <c r="I195" i="5" s="1"/>
  <c r="K194" i="5"/>
  <c r="J194" i="5"/>
  <c r="H194" i="5"/>
  <c r="E194" i="5"/>
  <c r="I194" i="5" s="1"/>
  <c r="K193" i="5"/>
  <c r="J193" i="5"/>
  <c r="H193" i="5"/>
  <c r="E193" i="5"/>
  <c r="I193" i="5" s="1"/>
  <c r="A192" i="5"/>
  <c r="K191" i="5"/>
  <c r="J191" i="5"/>
  <c r="H191" i="5"/>
  <c r="E191" i="5"/>
  <c r="I191" i="5" s="1"/>
  <c r="K190" i="5"/>
  <c r="J190" i="5"/>
  <c r="H190" i="5"/>
  <c r="E190" i="5"/>
  <c r="I190" i="5" s="1"/>
  <c r="K189" i="5"/>
  <c r="J189" i="5"/>
  <c r="H189" i="5"/>
  <c r="E189" i="5"/>
  <c r="I189" i="5" s="1"/>
  <c r="K188" i="5"/>
  <c r="J188" i="5"/>
  <c r="H188" i="5"/>
  <c r="E188" i="5"/>
  <c r="I188" i="5" s="1"/>
  <c r="K187" i="5"/>
  <c r="J187" i="5"/>
  <c r="H187" i="5"/>
  <c r="E187" i="5"/>
  <c r="I187" i="5" s="1"/>
  <c r="K186" i="5"/>
  <c r="J186" i="5"/>
  <c r="H186" i="5"/>
  <c r="E186" i="5"/>
  <c r="I186" i="5" s="1"/>
  <c r="A185" i="5"/>
  <c r="K184" i="5"/>
  <c r="J184" i="5"/>
  <c r="H184" i="5"/>
  <c r="E184" i="5"/>
  <c r="I184" i="5" s="1"/>
  <c r="K183" i="5"/>
  <c r="J183" i="5"/>
  <c r="H183" i="5"/>
  <c r="E183" i="5"/>
  <c r="I183" i="5" s="1"/>
  <c r="K182" i="5"/>
  <c r="J182" i="5"/>
  <c r="H182" i="5"/>
  <c r="E182" i="5"/>
  <c r="I182" i="5" s="1"/>
  <c r="K181" i="5"/>
  <c r="J181" i="5"/>
  <c r="H181" i="5"/>
  <c r="E181" i="5"/>
  <c r="I181" i="5" s="1"/>
  <c r="K180" i="5"/>
  <c r="J180" i="5"/>
  <c r="H180" i="5"/>
  <c r="E180" i="5"/>
  <c r="I180" i="5" s="1"/>
  <c r="K179" i="5"/>
  <c r="J179" i="5"/>
  <c r="H179" i="5"/>
  <c r="E179" i="5"/>
  <c r="I179" i="5" s="1"/>
  <c r="K178" i="5"/>
  <c r="J178" i="5"/>
  <c r="H178" i="5"/>
  <c r="E178" i="5"/>
  <c r="I178" i="5" s="1"/>
  <c r="K177" i="5"/>
  <c r="J177" i="5"/>
  <c r="H177" i="5"/>
  <c r="E177" i="5"/>
  <c r="I177" i="5" s="1"/>
  <c r="A176" i="5"/>
  <c r="K175" i="5"/>
  <c r="J175" i="5"/>
  <c r="H175" i="5"/>
  <c r="E175" i="5"/>
  <c r="I175" i="5" s="1"/>
  <c r="K174" i="5"/>
  <c r="J174" i="5"/>
  <c r="H174" i="5"/>
  <c r="E174" i="5"/>
  <c r="I174" i="5" s="1"/>
  <c r="K173" i="5"/>
  <c r="J173" i="5"/>
  <c r="H173" i="5"/>
  <c r="E173" i="5"/>
  <c r="I173" i="5" s="1"/>
  <c r="K172" i="5"/>
  <c r="J172" i="5"/>
  <c r="H172" i="5"/>
  <c r="E172" i="5"/>
  <c r="I172" i="5" s="1"/>
  <c r="K171" i="5"/>
  <c r="J171" i="5"/>
  <c r="H171" i="5"/>
  <c r="E171" i="5"/>
  <c r="I171" i="5" s="1"/>
  <c r="K170" i="5"/>
  <c r="J170" i="5"/>
  <c r="H170" i="5"/>
  <c r="E170" i="5"/>
  <c r="I170" i="5" s="1"/>
  <c r="K169" i="5"/>
  <c r="J169" i="5"/>
  <c r="H169" i="5"/>
  <c r="E169" i="5"/>
  <c r="I169" i="5" s="1"/>
  <c r="K168" i="5"/>
  <c r="J168" i="5"/>
  <c r="H168" i="5"/>
  <c r="E168" i="5"/>
  <c r="I168" i="5" s="1"/>
  <c r="K167" i="5"/>
  <c r="J167" i="5"/>
  <c r="H167" i="5"/>
  <c r="E167" i="5"/>
  <c r="I167" i="5" s="1"/>
  <c r="K166" i="5"/>
  <c r="J166" i="5"/>
  <c r="H166" i="5"/>
  <c r="E166" i="5"/>
  <c r="I166" i="5" s="1"/>
  <c r="K165" i="5"/>
  <c r="J165" i="5"/>
  <c r="H165" i="5"/>
  <c r="E165" i="5"/>
  <c r="I165" i="5" s="1"/>
  <c r="A164" i="5"/>
  <c r="K163" i="5"/>
  <c r="J163" i="5"/>
  <c r="H163" i="5"/>
  <c r="E163" i="5"/>
  <c r="I163" i="5" s="1"/>
  <c r="K162" i="5"/>
  <c r="J162" i="5"/>
  <c r="H162" i="5"/>
  <c r="E162" i="5"/>
  <c r="I162" i="5" s="1"/>
  <c r="K161" i="5"/>
  <c r="J161" i="5"/>
  <c r="H161" i="5"/>
  <c r="E161" i="5"/>
  <c r="I161" i="5" s="1"/>
  <c r="K160" i="5"/>
  <c r="J160" i="5"/>
  <c r="H160" i="5"/>
  <c r="E160" i="5"/>
  <c r="I160" i="5" s="1"/>
  <c r="K159" i="5"/>
  <c r="J159" i="5"/>
  <c r="H159" i="5"/>
  <c r="E159" i="5"/>
  <c r="I159" i="5" s="1"/>
  <c r="K158" i="5"/>
  <c r="J158" i="5"/>
  <c r="H158" i="5"/>
  <c r="E158" i="5"/>
  <c r="I158" i="5" s="1"/>
  <c r="K157" i="5"/>
  <c r="J157" i="5"/>
  <c r="H157" i="5"/>
  <c r="E157" i="5"/>
  <c r="I157" i="5" s="1"/>
  <c r="A156" i="5"/>
  <c r="K155" i="5"/>
  <c r="J155" i="5"/>
  <c r="H155" i="5"/>
  <c r="E155" i="5"/>
  <c r="I155" i="5" s="1"/>
  <c r="K154" i="5"/>
  <c r="J154" i="5"/>
  <c r="H154" i="5"/>
  <c r="E154" i="5"/>
  <c r="I154" i="5" s="1"/>
  <c r="K153" i="5"/>
  <c r="J153" i="5"/>
  <c r="H153" i="5"/>
  <c r="E153" i="5"/>
  <c r="I153" i="5" s="1"/>
  <c r="K152" i="5"/>
  <c r="J152" i="5"/>
  <c r="H152" i="5"/>
  <c r="E152" i="5"/>
  <c r="I152" i="5" s="1"/>
  <c r="K151" i="5"/>
  <c r="J151" i="5"/>
  <c r="H151" i="5"/>
  <c r="E151" i="5"/>
  <c r="I151" i="5" s="1"/>
  <c r="K150" i="5"/>
  <c r="J150" i="5"/>
  <c r="H150" i="5"/>
  <c r="E150" i="5"/>
  <c r="I150" i="5" s="1"/>
  <c r="K149" i="5"/>
  <c r="J149" i="5"/>
  <c r="H149" i="5"/>
  <c r="E149" i="5"/>
  <c r="I149" i="5" s="1"/>
  <c r="A148" i="5"/>
  <c r="J147" i="5"/>
  <c r="H147" i="5"/>
  <c r="E147" i="5"/>
  <c r="J146" i="5"/>
  <c r="H146" i="5"/>
  <c r="E146" i="5"/>
  <c r="J145" i="5"/>
  <c r="H145" i="5"/>
  <c r="E145" i="5"/>
  <c r="J144" i="5"/>
  <c r="H144" i="5"/>
  <c r="E144" i="5"/>
  <c r="J143" i="5"/>
  <c r="H143" i="5"/>
  <c r="E143" i="5"/>
  <c r="J142" i="5"/>
  <c r="H142" i="5"/>
  <c r="E142" i="5"/>
  <c r="J141" i="5"/>
  <c r="H141" i="5"/>
  <c r="E141" i="5"/>
  <c r="J140" i="5"/>
  <c r="H140" i="5"/>
  <c r="E140" i="5"/>
  <c r="J139" i="5"/>
  <c r="H139" i="5"/>
  <c r="E139" i="5"/>
  <c r="J138" i="5"/>
  <c r="H138" i="5"/>
  <c r="E138" i="5"/>
  <c r="J137" i="5"/>
  <c r="H137" i="5"/>
  <c r="E137" i="5"/>
  <c r="J136" i="5"/>
  <c r="H136" i="5"/>
  <c r="E136" i="5"/>
  <c r="J135" i="5"/>
  <c r="H135" i="5"/>
  <c r="E135" i="5"/>
  <c r="A134" i="5"/>
  <c r="J133" i="5"/>
  <c r="H133" i="5"/>
  <c r="E133" i="5"/>
  <c r="J132" i="5"/>
  <c r="H132" i="5"/>
  <c r="E132" i="5"/>
  <c r="J131" i="5"/>
  <c r="H131" i="5"/>
  <c r="E131" i="5"/>
  <c r="J130" i="5"/>
  <c r="H130" i="5"/>
  <c r="E130" i="5"/>
  <c r="J129" i="5"/>
  <c r="H129" i="5"/>
  <c r="E129" i="5"/>
  <c r="J128" i="5"/>
  <c r="H128" i="5"/>
  <c r="E128" i="5"/>
  <c r="J127" i="5"/>
  <c r="H127" i="5"/>
  <c r="E127" i="5"/>
  <c r="J126" i="5"/>
  <c r="H126" i="5"/>
  <c r="E126" i="5"/>
  <c r="J125" i="5"/>
  <c r="H125" i="5"/>
  <c r="E125" i="5"/>
  <c r="J124" i="5"/>
  <c r="H124" i="5"/>
  <c r="E124" i="5"/>
  <c r="J123" i="5"/>
  <c r="H123" i="5"/>
  <c r="E123" i="5"/>
  <c r="J122" i="5"/>
  <c r="H122" i="5"/>
  <c r="E122" i="5"/>
  <c r="A121" i="5"/>
  <c r="J120" i="5"/>
  <c r="H120" i="5"/>
  <c r="E120" i="5"/>
  <c r="J119" i="5"/>
  <c r="H119" i="5"/>
  <c r="E119" i="5"/>
  <c r="J118" i="5"/>
  <c r="H118" i="5"/>
  <c r="E118" i="5"/>
  <c r="J117" i="5"/>
  <c r="H117" i="5"/>
  <c r="E117" i="5"/>
  <c r="J116" i="5"/>
  <c r="H116" i="5"/>
  <c r="E116" i="5"/>
  <c r="J115" i="5"/>
  <c r="H115" i="5"/>
  <c r="E115" i="5"/>
  <c r="J114" i="5"/>
  <c r="H114" i="5"/>
  <c r="E114" i="5"/>
  <c r="J113" i="5"/>
  <c r="H113" i="5"/>
  <c r="E113" i="5"/>
  <c r="J112" i="5"/>
  <c r="H112" i="5"/>
  <c r="E112" i="5"/>
  <c r="J111" i="5"/>
  <c r="H111" i="5"/>
  <c r="E111" i="5"/>
  <c r="J110" i="5"/>
  <c r="H110" i="5"/>
  <c r="E110" i="5"/>
  <c r="J109" i="5"/>
  <c r="H109" i="5"/>
  <c r="E109" i="5"/>
  <c r="J108" i="5"/>
  <c r="H108" i="5"/>
  <c r="E108" i="5"/>
  <c r="J107" i="5"/>
  <c r="H107" i="5"/>
  <c r="E107" i="5"/>
  <c r="A106" i="5"/>
  <c r="J105" i="5"/>
  <c r="H105" i="5"/>
  <c r="E105" i="5"/>
  <c r="J104" i="5"/>
  <c r="H104" i="5"/>
  <c r="E104" i="5"/>
  <c r="J103" i="5"/>
  <c r="H103" i="5"/>
  <c r="E103" i="5"/>
  <c r="J102" i="5"/>
  <c r="H102" i="5"/>
  <c r="E102" i="5"/>
  <c r="J101" i="5"/>
  <c r="H101" i="5"/>
  <c r="E101" i="5"/>
  <c r="J100" i="5"/>
  <c r="H100" i="5"/>
  <c r="E100" i="5"/>
  <c r="J99" i="5"/>
  <c r="H99" i="5"/>
  <c r="E99" i="5"/>
  <c r="J98" i="5"/>
  <c r="H98" i="5"/>
  <c r="E98" i="5"/>
  <c r="J97" i="5"/>
  <c r="H97" i="5"/>
  <c r="E97" i="5"/>
  <c r="J96" i="5"/>
  <c r="H96" i="5"/>
  <c r="E96" i="5"/>
  <c r="J95" i="5"/>
  <c r="H95" i="5"/>
  <c r="E95" i="5"/>
  <c r="J94" i="5"/>
  <c r="H94" i="5"/>
  <c r="E94" i="5"/>
  <c r="A93" i="5"/>
  <c r="J92" i="5"/>
  <c r="H92" i="5"/>
  <c r="E92" i="5"/>
  <c r="J91" i="5"/>
  <c r="H91" i="5"/>
  <c r="E91" i="5"/>
  <c r="J90" i="5"/>
  <c r="H90" i="5"/>
  <c r="E90" i="5"/>
  <c r="J89" i="5"/>
  <c r="H89" i="5"/>
  <c r="E89" i="5"/>
  <c r="J88" i="5"/>
  <c r="H88" i="5"/>
  <c r="E88" i="5"/>
  <c r="J87" i="5"/>
  <c r="H87" i="5"/>
  <c r="E87" i="5"/>
  <c r="J86" i="5"/>
  <c r="H86" i="5"/>
  <c r="E86" i="5"/>
  <c r="J85" i="5"/>
  <c r="H85" i="5"/>
  <c r="E85" i="5"/>
  <c r="J84" i="5"/>
  <c r="H84" i="5"/>
  <c r="E84" i="5"/>
  <c r="J83" i="5"/>
  <c r="H83" i="5"/>
  <c r="E83" i="5"/>
  <c r="J82" i="5"/>
  <c r="H82" i="5"/>
  <c r="E82" i="5"/>
  <c r="J81" i="5"/>
  <c r="H81" i="5"/>
  <c r="E81" i="5"/>
  <c r="A80" i="5"/>
  <c r="D57" i="5"/>
  <c r="D56" i="5"/>
  <c r="G55" i="5"/>
  <c r="J52" i="5"/>
  <c r="I52" i="5"/>
  <c r="H52" i="5"/>
  <c r="G52" i="5"/>
  <c r="F52" i="5"/>
  <c r="E52" i="5"/>
  <c r="D52" i="5"/>
  <c r="J51" i="5"/>
  <c r="I51" i="5"/>
  <c r="H51" i="5"/>
  <c r="G51" i="5"/>
  <c r="F51" i="5"/>
  <c r="E51" i="5"/>
  <c r="D51" i="5"/>
  <c r="J50" i="5"/>
  <c r="I50" i="5"/>
  <c r="H50" i="5"/>
  <c r="G50" i="5"/>
  <c r="F50" i="5"/>
  <c r="E50" i="5"/>
  <c r="D50" i="5"/>
  <c r="J49" i="5"/>
  <c r="I49" i="5"/>
  <c r="H49" i="5"/>
  <c r="G49" i="5"/>
  <c r="F49" i="5"/>
  <c r="E49" i="5"/>
  <c r="D49" i="5"/>
  <c r="J48" i="5"/>
  <c r="I48" i="5"/>
  <c r="H48" i="5"/>
  <c r="G48" i="5"/>
  <c r="F48" i="5"/>
  <c r="E48" i="5"/>
  <c r="D48" i="5"/>
  <c r="J47" i="5"/>
  <c r="I47" i="5"/>
  <c r="H47" i="5"/>
  <c r="G47" i="5"/>
  <c r="F47" i="5"/>
  <c r="E47" i="5"/>
  <c r="D47" i="5"/>
  <c r="J46" i="5"/>
  <c r="H46" i="5"/>
  <c r="E46" i="5"/>
  <c r="J45" i="5"/>
  <c r="H45" i="5"/>
  <c r="E45" i="5"/>
  <c r="J44" i="5"/>
  <c r="H44" i="5"/>
  <c r="E44" i="5"/>
  <c r="J43" i="5"/>
  <c r="H43" i="5"/>
  <c r="E43" i="5"/>
  <c r="J42" i="5"/>
  <c r="H42" i="5"/>
  <c r="E42" i="5"/>
  <c r="G37" i="5"/>
  <c r="G36" i="5"/>
  <c r="G35" i="5"/>
  <c r="G34" i="5"/>
  <c r="E34" i="5"/>
  <c r="G33" i="5"/>
  <c r="G32" i="5"/>
  <c r="G29" i="5"/>
  <c r="G25" i="5"/>
  <c r="G24" i="5"/>
  <c r="G23" i="5"/>
  <c r="G22" i="5"/>
  <c r="G21" i="5"/>
  <c r="G20" i="5"/>
  <c r="G18" i="5"/>
  <c r="G15" i="5"/>
  <c r="G14" i="5"/>
  <c r="E75" i="5" l="1"/>
  <c r="G75" i="5" s="1"/>
  <c r="E74" i="5"/>
  <c r="G74" i="5" s="1"/>
  <c r="E73" i="5"/>
  <c r="G73" i="5" s="1"/>
  <c r="E72" i="5"/>
  <c r="G72" i="5" s="1"/>
  <c r="E71" i="5"/>
  <c r="G71" i="5" s="1"/>
  <c r="E70" i="5"/>
  <c r="G70" i="5" s="1"/>
  <c r="E69" i="5"/>
  <c r="G69" i="5" s="1"/>
  <c r="E68" i="5"/>
  <c r="G68" i="5" s="1"/>
  <c r="E67" i="5"/>
  <c r="G67" i="5" s="1"/>
  <c r="E66" i="5"/>
  <c r="G66" i="5" s="1"/>
  <c r="E65" i="5"/>
  <c r="G65" i="5" s="1"/>
  <c r="E64" i="5"/>
  <c r="G64" i="5" s="1"/>
  <c r="E63" i="5"/>
  <c r="G63" i="5" s="1"/>
  <c r="E62" i="5"/>
  <c r="G62" i="5" s="1"/>
  <c r="E61" i="5"/>
  <c r="G61" i="5" s="1"/>
  <c r="K81" i="5"/>
  <c r="I81" i="5"/>
  <c r="K82" i="5"/>
  <c r="I82" i="5"/>
  <c r="K83" i="5"/>
  <c r="I83" i="5"/>
  <c r="K84" i="5"/>
  <c r="I84" i="5"/>
  <c r="K85" i="5"/>
  <c r="I85" i="5"/>
  <c r="K86" i="5"/>
  <c r="I86" i="5"/>
  <c r="K87" i="5"/>
  <c r="I87" i="5"/>
  <c r="K88" i="5"/>
  <c r="I88" i="5"/>
  <c r="K89" i="5"/>
  <c r="I89" i="5"/>
  <c r="K90" i="5"/>
  <c r="I90" i="5"/>
  <c r="K91" i="5"/>
  <c r="I91" i="5"/>
  <c r="K92" i="5"/>
  <c r="I92" i="5"/>
  <c r="K94" i="5"/>
  <c r="I94" i="5"/>
  <c r="K95" i="5"/>
  <c r="I95" i="5"/>
  <c r="K96" i="5"/>
  <c r="I96" i="5"/>
  <c r="K97" i="5"/>
  <c r="I97" i="5"/>
  <c r="K98" i="5"/>
  <c r="I98" i="5"/>
  <c r="K99" i="5"/>
  <c r="I99" i="5"/>
  <c r="K100" i="5"/>
  <c r="I100" i="5"/>
  <c r="K101" i="5"/>
  <c r="I101" i="5"/>
  <c r="K102" i="5"/>
  <c r="I102" i="5"/>
  <c r="K103" i="5"/>
  <c r="I103" i="5"/>
  <c r="K104" i="5"/>
  <c r="I104" i="5"/>
  <c r="K105" i="5"/>
  <c r="I105" i="5"/>
  <c r="K107" i="5"/>
  <c r="I107" i="5"/>
  <c r="K108" i="5"/>
  <c r="I108" i="5"/>
  <c r="K109" i="5"/>
  <c r="I109" i="5"/>
  <c r="K110" i="5"/>
  <c r="I110" i="5"/>
  <c r="K111" i="5"/>
  <c r="I111" i="5"/>
  <c r="K112" i="5"/>
  <c r="I112" i="5"/>
  <c r="K113" i="5"/>
  <c r="I113" i="5"/>
  <c r="K114" i="5"/>
  <c r="I114" i="5"/>
  <c r="K115" i="5"/>
  <c r="I115" i="5"/>
  <c r="K116" i="5"/>
  <c r="I116" i="5"/>
  <c r="K117" i="5"/>
  <c r="I117" i="5"/>
  <c r="K118" i="5"/>
  <c r="I118" i="5"/>
  <c r="K119" i="5"/>
  <c r="I119" i="5"/>
  <c r="K120" i="5"/>
  <c r="I120" i="5"/>
  <c r="K122" i="5"/>
  <c r="I122" i="5"/>
  <c r="K123" i="5"/>
  <c r="I123" i="5"/>
  <c r="K124" i="5"/>
  <c r="I124" i="5"/>
  <c r="K125" i="5"/>
  <c r="I125" i="5"/>
  <c r="K126" i="5"/>
  <c r="I126" i="5"/>
  <c r="K127" i="5"/>
  <c r="I127" i="5"/>
  <c r="K128" i="5"/>
  <c r="I128" i="5"/>
  <c r="K129" i="5"/>
  <c r="I129" i="5"/>
  <c r="K130" i="5"/>
  <c r="I130" i="5"/>
  <c r="K131" i="5"/>
  <c r="I131" i="5"/>
  <c r="K132" i="5"/>
  <c r="I132" i="5"/>
  <c r="K133" i="5"/>
  <c r="I133" i="5"/>
  <c r="K135" i="5"/>
  <c r="I135" i="5"/>
  <c r="K136" i="5"/>
  <c r="I136" i="5"/>
  <c r="K137" i="5"/>
  <c r="I137" i="5"/>
  <c r="K138" i="5"/>
  <c r="I138" i="5"/>
  <c r="K139" i="5"/>
  <c r="I139" i="5"/>
  <c r="K140" i="5"/>
  <c r="I140" i="5"/>
  <c r="K141" i="5"/>
  <c r="I141" i="5"/>
  <c r="K142" i="5"/>
  <c r="I142" i="5"/>
  <c r="K143" i="5"/>
  <c r="I143" i="5"/>
  <c r="K144" i="5"/>
  <c r="I144" i="5"/>
  <c r="K145" i="5"/>
  <c r="I145" i="5"/>
  <c r="K146" i="5"/>
  <c r="I146" i="5"/>
  <c r="K147" i="5"/>
  <c r="I147" i="5"/>
  <c r="C51" i="7"/>
  <c r="F12" i="7"/>
  <c r="E75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G34" i="6"/>
  <c r="C62" i="7" s="1"/>
  <c r="D16" i="7"/>
  <c r="D17" i="7"/>
  <c r="D18" i="7"/>
  <c r="D19" i="7"/>
  <c r="D20" i="7"/>
  <c r="D21" i="7"/>
  <c r="D22" i="7"/>
  <c r="D23" i="7"/>
  <c r="D24" i="7"/>
  <c r="D25" i="7"/>
  <c r="D26" i="7"/>
  <c r="K81" i="6"/>
  <c r="I81" i="6"/>
  <c r="H81" i="6"/>
  <c r="I82" i="6"/>
  <c r="H82" i="6"/>
  <c r="K83" i="6"/>
  <c r="I83" i="6"/>
  <c r="H83" i="6"/>
  <c r="K84" i="6"/>
  <c r="I84" i="6"/>
  <c r="H84" i="6"/>
  <c r="K85" i="6"/>
  <c r="I85" i="6"/>
  <c r="H85" i="6"/>
  <c r="K86" i="6"/>
  <c r="I86" i="6"/>
  <c r="H86" i="6"/>
  <c r="K87" i="6"/>
  <c r="I87" i="6"/>
  <c r="H87" i="6"/>
  <c r="K88" i="6"/>
  <c r="I88" i="6"/>
  <c r="H88" i="6"/>
  <c r="K89" i="6"/>
  <c r="I89" i="6"/>
  <c r="H89" i="6"/>
  <c r="K90" i="6"/>
  <c r="I90" i="6"/>
  <c r="H90" i="6"/>
  <c r="I92" i="6"/>
  <c r="H92" i="6"/>
  <c r="I94" i="6"/>
  <c r="H94" i="6"/>
  <c r="K95" i="6"/>
  <c r="I95" i="6"/>
  <c r="H95" i="6"/>
  <c r="K96" i="6"/>
  <c r="I96" i="6"/>
  <c r="H96" i="6"/>
  <c r="K97" i="6"/>
  <c r="I97" i="6"/>
  <c r="H97" i="6"/>
  <c r="K98" i="6"/>
  <c r="I98" i="6"/>
  <c r="H98" i="6"/>
  <c r="K99" i="6"/>
  <c r="I99" i="6"/>
  <c r="H99" i="6"/>
  <c r="K100" i="6"/>
  <c r="I100" i="6"/>
  <c r="H100" i="6"/>
  <c r="I101" i="6"/>
  <c r="H101" i="6"/>
  <c r="K102" i="6"/>
  <c r="I102" i="6"/>
  <c r="H102" i="6"/>
  <c r="K103" i="6"/>
  <c r="I103" i="6"/>
  <c r="H103" i="6"/>
  <c r="I104" i="6"/>
  <c r="H104" i="6"/>
  <c r="K105" i="6"/>
  <c r="I105" i="6"/>
  <c r="H105" i="6"/>
  <c r="K107" i="6"/>
  <c r="I107" i="6"/>
  <c r="H107" i="6"/>
  <c r="K108" i="6"/>
  <c r="I108" i="6"/>
  <c r="H108" i="6"/>
  <c r="K109" i="6"/>
  <c r="I109" i="6"/>
  <c r="H109" i="6"/>
  <c r="K110" i="6"/>
  <c r="I110" i="6"/>
  <c r="H110" i="6"/>
  <c r="K111" i="6"/>
  <c r="I111" i="6"/>
  <c r="H111" i="6"/>
  <c r="K112" i="6"/>
  <c r="I112" i="6"/>
  <c r="H112" i="6"/>
  <c r="K113" i="6"/>
  <c r="I113" i="6"/>
  <c r="H113" i="6"/>
  <c r="K114" i="6"/>
  <c r="I114" i="6"/>
  <c r="H114" i="6"/>
  <c r="K115" i="6"/>
  <c r="I115" i="6"/>
  <c r="H115" i="6"/>
  <c r="K116" i="6"/>
  <c r="I116" i="6"/>
  <c r="H116" i="6"/>
  <c r="K117" i="6"/>
  <c r="I117" i="6"/>
  <c r="H117" i="6"/>
  <c r="K118" i="6"/>
  <c r="I118" i="6"/>
  <c r="H118" i="6"/>
  <c r="K119" i="6"/>
  <c r="I119" i="6"/>
  <c r="H119" i="6"/>
  <c r="K120" i="6"/>
  <c r="I120" i="6"/>
  <c r="H120" i="6"/>
  <c r="K122" i="6"/>
  <c r="I122" i="6"/>
  <c r="H122" i="6"/>
  <c r="K123" i="6"/>
  <c r="I123" i="6"/>
  <c r="H123" i="6"/>
  <c r="K124" i="6"/>
  <c r="I124" i="6"/>
  <c r="H124" i="6"/>
  <c r="I125" i="6"/>
  <c r="H125" i="6"/>
  <c r="K126" i="6"/>
  <c r="I126" i="6"/>
  <c r="H126" i="6"/>
  <c r="K127" i="6"/>
  <c r="I127" i="6"/>
  <c r="H127" i="6"/>
  <c r="K128" i="6"/>
  <c r="I128" i="6"/>
  <c r="H128" i="6"/>
  <c r="K129" i="6"/>
  <c r="I129" i="6"/>
  <c r="H129" i="6"/>
  <c r="K130" i="6"/>
  <c r="I130" i="6"/>
  <c r="H130" i="6"/>
  <c r="K131" i="6"/>
  <c r="I131" i="6"/>
  <c r="H131" i="6"/>
  <c r="K132" i="6"/>
  <c r="I132" i="6"/>
  <c r="H132" i="6"/>
  <c r="I133" i="6"/>
  <c r="H133" i="6"/>
  <c r="K135" i="6"/>
  <c r="I135" i="6"/>
  <c r="H135" i="6"/>
  <c r="K136" i="6"/>
  <c r="I136" i="6"/>
  <c r="H136" i="6"/>
  <c r="K137" i="6"/>
  <c r="I137" i="6"/>
  <c r="H137" i="6"/>
  <c r="K138" i="6"/>
  <c r="I138" i="6"/>
  <c r="H138" i="6"/>
  <c r="K139" i="6"/>
  <c r="I139" i="6"/>
  <c r="H139" i="6"/>
  <c r="K140" i="6"/>
  <c r="I140" i="6"/>
  <c r="H140" i="6"/>
  <c r="K141" i="6"/>
  <c r="I141" i="6"/>
  <c r="H141" i="6"/>
  <c r="K142" i="6"/>
  <c r="I142" i="6"/>
  <c r="H142" i="6"/>
  <c r="K143" i="6"/>
  <c r="I143" i="6"/>
  <c r="H143" i="6"/>
  <c r="K144" i="6"/>
  <c r="I144" i="6"/>
  <c r="H144" i="6"/>
  <c r="K145" i="6"/>
  <c r="I145" i="6"/>
  <c r="H145" i="6"/>
  <c r="I146" i="6"/>
  <c r="H146" i="6"/>
  <c r="K147" i="6"/>
  <c r="I147" i="6"/>
  <c r="H147" i="6"/>
  <c r="K149" i="6"/>
  <c r="I149" i="6"/>
  <c r="H149" i="6"/>
  <c r="K150" i="6"/>
  <c r="I150" i="6"/>
  <c r="H150" i="6"/>
  <c r="K151" i="6"/>
  <c r="I151" i="6"/>
  <c r="H151" i="6"/>
  <c r="K152" i="6"/>
  <c r="I152" i="6"/>
  <c r="H152" i="6"/>
  <c r="K154" i="6"/>
  <c r="I154" i="6"/>
  <c r="H154" i="6"/>
  <c r="K155" i="6"/>
  <c r="I155" i="6"/>
  <c r="H155" i="6"/>
  <c r="I157" i="6"/>
  <c r="H157" i="6"/>
  <c r="K158" i="6"/>
  <c r="I158" i="6"/>
  <c r="H158" i="6"/>
  <c r="I159" i="6"/>
  <c r="H159" i="6"/>
  <c r="K160" i="6"/>
  <c r="I160" i="6"/>
  <c r="H160" i="6"/>
  <c r="K161" i="6"/>
  <c r="I161" i="6"/>
  <c r="H161" i="6"/>
  <c r="K162" i="6"/>
  <c r="I162" i="6"/>
  <c r="H162" i="6"/>
  <c r="K163" i="6"/>
  <c r="I163" i="6"/>
  <c r="H163" i="6"/>
  <c r="I165" i="6"/>
  <c r="H165" i="6"/>
  <c r="I166" i="6"/>
  <c r="H166" i="6"/>
  <c r="K167" i="6"/>
  <c r="I167" i="6"/>
  <c r="H167" i="6"/>
  <c r="K168" i="6"/>
  <c r="I168" i="6"/>
  <c r="H168" i="6"/>
  <c r="K169" i="6"/>
  <c r="I169" i="6"/>
  <c r="H169" i="6"/>
  <c r="K170" i="6"/>
  <c r="I170" i="6"/>
  <c r="H170" i="6"/>
  <c r="K171" i="6"/>
  <c r="I171" i="6"/>
  <c r="H171" i="6"/>
  <c r="K172" i="6"/>
  <c r="I172" i="6"/>
  <c r="H172" i="6"/>
  <c r="K173" i="6"/>
  <c r="I173" i="6"/>
  <c r="H173" i="6"/>
  <c r="K174" i="6"/>
  <c r="I174" i="6"/>
  <c r="H174" i="6"/>
  <c r="K175" i="6"/>
  <c r="I175" i="6"/>
  <c r="H175" i="6"/>
  <c r="K177" i="6"/>
  <c r="I177" i="6"/>
  <c r="H177" i="6"/>
  <c r="K178" i="6"/>
  <c r="I178" i="6"/>
  <c r="H178" i="6"/>
  <c r="K179" i="6"/>
  <c r="I179" i="6"/>
  <c r="H179" i="6"/>
  <c r="I180" i="6"/>
  <c r="H180" i="6"/>
  <c r="K181" i="6"/>
  <c r="I181" i="6"/>
  <c r="H181" i="6"/>
  <c r="K182" i="6"/>
  <c r="I182" i="6"/>
  <c r="H182" i="6"/>
  <c r="I183" i="6"/>
  <c r="H183" i="6"/>
  <c r="K184" i="6"/>
  <c r="I184" i="6"/>
  <c r="H184" i="6"/>
  <c r="I186" i="6"/>
  <c r="H186" i="6"/>
  <c r="K187" i="6"/>
  <c r="I187" i="6"/>
  <c r="H187" i="6"/>
  <c r="K188" i="6"/>
  <c r="I188" i="6"/>
  <c r="H188" i="6"/>
  <c r="K189" i="6"/>
  <c r="I189" i="6"/>
  <c r="H189" i="6"/>
  <c r="K190" i="6"/>
  <c r="I190" i="6"/>
  <c r="H190" i="6"/>
  <c r="K191" i="6"/>
  <c r="I191" i="6"/>
  <c r="H191" i="6"/>
  <c r="K193" i="6"/>
  <c r="I193" i="6"/>
  <c r="H193" i="6"/>
  <c r="K194" i="6"/>
  <c r="I194" i="6"/>
  <c r="H194" i="6"/>
  <c r="K195" i="6"/>
  <c r="I195" i="6"/>
  <c r="H195" i="6"/>
  <c r="K196" i="6"/>
  <c r="I196" i="6"/>
  <c r="H196" i="6"/>
  <c r="K197" i="6"/>
  <c r="I197" i="6"/>
  <c r="H197" i="6"/>
  <c r="K198" i="6"/>
  <c r="I198" i="6"/>
  <c r="H198" i="6"/>
  <c r="I199" i="6"/>
  <c r="H199" i="6"/>
  <c r="H27" i="7"/>
  <c r="N16" i="7"/>
  <c r="N27" i="7" s="1"/>
  <c r="F52" i="6" l="1"/>
  <c r="D52" i="6"/>
  <c r="O26" i="7" s="1"/>
  <c r="D51" i="6"/>
  <c r="O25" i="7" s="1"/>
  <c r="F51" i="6"/>
  <c r="F50" i="6"/>
  <c r="D50" i="6"/>
  <c r="O24" i="7" s="1"/>
  <c r="D49" i="6"/>
  <c r="O23" i="7" s="1"/>
  <c r="F49" i="6"/>
  <c r="D48" i="6"/>
  <c r="O22" i="7" s="1"/>
  <c r="F48" i="6"/>
  <c r="F47" i="6"/>
  <c r="D47" i="6"/>
  <c r="O21" i="7" s="1"/>
  <c r="F46" i="6"/>
  <c r="D46" i="6"/>
  <c r="O20" i="7" s="1"/>
  <c r="F45" i="6"/>
  <c r="D45" i="6"/>
  <c r="O19" i="7" s="1"/>
  <c r="F44" i="6"/>
  <c r="D44" i="6"/>
  <c r="O18" i="7" s="1"/>
  <c r="D43" i="6"/>
  <c r="O17" i="7" s="1"/>
  <c r="F43" i="6"/>
  <c r="F42" i="6"/>
  <c r="P79" i="7"/>
  <c r="C79" i="7" s="1"/>
  <c r="P78" i="7"/>
  <c r="C78" i="7" s="1"/>
  <c r="P77" i="7"/>
  <c r="C77" i="7" s="1"/>
  <c r="P76" i="7"/>
  <c r="C76" i="7" s="1"/>
  <c r="P75" i="7"/>
  <c r="C75" i="7" s="1"/>
  <c r="P74" i="7"/>
  <c r="C74" i="7" s="1"/>
  <c r="P73" i="7"/>
  <c r="C73" i="7" s="1"/>
  <c r="P72" i="7"/>
  <c r="C72" i="7" s="1"/>
  <c r="P71" i="7"/>
  <c r="C71" i="7" s="1"/>
  <c r="P70" i="7"/>
  <c r="C70" i="7" s="1"/>
  <c r="D42" i="6"/>
  <c r="O16" i="7" s="1"/>
  <c r="D27" i="7"/>
  <c r="C84" i="7"/>
  <c r="G61" i="6"/>
  <c r="D84" i="7" s="1"/>
  <c r="C85" i="7"/>
  <c r="G62" i="6"/>
  <c r="D85" i="7" s="1"/>
  <c r="C86" i="7"/>
  <c r="G63" i="6"/>
  <c r="D86" i="7" s="1"/>
  <c r="C87" i="7"/>
  <c r="G64" i="6"/>
  <c r="D87" i="7" s="1"/>
  <c r="C88" i="7"/>
  <c r="G65" i="6"/>
  <c r="D88" i="7" s="1"/>
  <c r="C89" i="7"/>
  <c r="G66" i="6"/>
  <c r="D89" i="7" s="1"/>
  <c r="C90" i="7"/>
  <c r="G67" i="6"/>
  <c r="D90" i="7" s="1"/>
  <c r="C91" i="7"/>
  <c r="G68" i="6"/>
  <c r="D91" i="7" s="1"/>
  <c r="C92" i="7"/>
  <c r="G69" i="6"/>
  <c r="D92" i="7" s="1"/>
  <c r="C93" i="7"/>
  <c r="G70" i="6"/>
  <c r="D93" i="7" s="1"/>
  <c r="C94" i="7"/>
  <c r="G71" i="6"/>
  <c r="D94" i="7" s="1"/>
  <c r="C95" i="7"/>
  <c r="G72" i="6"/>
  <c r="D95" i="7" s="1"/>
  <c r="C96" i="7"/>
  <c r="G73" i="6"/>
  <c r="D96" i="7" s="1"/>
  <c r="C98" i="7"/>
  <c r="G75" i="6"/>
  <c r="D98" i="7" s="1"/>
  <c r="F46" i="5"/>
  <c r="D46" i="5"/>
  <c r="F45" i="5"/>
  <c r="D45" i="5"/>
  <c r="F44" i="5"/>
  <c r="D44" i="5"/>
  <c r="F43" i="5"/>
  <c r="D43" i="5"/>
  <c r="F42" i="5"/>
  <c r="D42" i="5"/>
  <c r="F54" i="5" l="1"/>
  <c r="G54" i="5" s="1"/>
  <c r="G42" i="5"/>
  <c r="I42" i="5"/>
  <c r="G43" i="5"/>
  <c r="I43" i="5"/>
  <c r="G44" i="5"/>
  <c r="I44" i="5"/>
  <c r="G45" i="5"/>
  <c r="I45" i="5"/>
  <c r="G46" i="5"/>
  <c r="I46" i="5"/>
  <c r="O70" i="7"/>
  <c r="E70" i="7"/>
  <c r="D70" i="7"/>
  <c r="B70" i="7"/>
  <c r="O71" i="7"/>
  <c r="E71" i="7"/>
  <c r="D71" i="7"/>
  <c r="B71" i="7"/>
  <c r="O72" i="7"/>
  <c r="E72" i="7"/>
  <c r="D72" i="7"/>
  <c r="B72" i="7"/>
  <c r="O73" i="7"/>
  <c r="E73" i="7"/>
  <c r="D73" i="7"/>
  <c r="B73" i="7"/>
  <c r="O74" i="7"/>
  <c r="E74" i="7"/>
  <c r="D74" i="7"/>
  <c r="B74" i="7"/>
  <c r="O75" i="7"/>
  <c r="E75" i="7"/>
  <c r="D75" i="7"/>
  <c r="B75" i="7"/>
  <c r="O76" i="7"/>
  <c r="E76" i="7"/>
  <c r="D76" i="7"/>
  <c r="B76" i="7"/>
  <c r="O77" i="7"/>
  <c r="E77" i="7"/>
  <c r="D77" i="7"/>
  <c r="B77" i="7"/>
  <c r="O78" i="7"/>
  <c r="E78" i="7"/>
  <c r="D78" i="7"/>
  <c r="B78" i="7"/>
  <c r="O79" i="7"/>
  <c r="E79" i="7"/>
  <c r="D79" i="7"/>
  <c r="B79" i="7"/>
  <c r="E16" i="7"/>
  <c r="F54" i="6"/>
  <c r="G54" i="6" s="1"/>
  <c r="O27" i="7" s="1"/>
  <c r="G42" i="6"/>
  <c r="F16" i="7" s="1"/>
  <c r="I42" i="6"/>
  <c r="E17" i="7"/>
  <c r="G43" i="6"/>
  <c r="F17" i="7" s="1"/>
  <c r="I43" i="6"/>
  <c r="G17" i="7" s="1"/>
  <c r="E18" i="7"/>
  <c r="G44" i="6"/>
  <c r="F18" i="7" s="1"/>
  <c r="E74" i="6"/>
  <c r="I44" i="6"/>
  <c r="G18" i="7" s="1"/>
  <c r="E19" i="7"/>
  <c r="G45" i="6"/>
  <c r="F19" i="7" s="1"/>
  <c r="I45" i="6"/>
  <c r="G19" i="7" s="1"/>
  <c r="E20" i="7"/>
  <c r="G46" i="6"/>
  <c r="F20" i="7" s="1"/>
  <c r="I46" i="6"/>
  <c r="G20" i="7" s="1"/>
  <c r="E21" i="7"/>
  <c r="G47" i="6"/>
  <c r="F21" i="7" s="1"/>
  <c r="I47" i="6"/>
  <c r="G21" i="7" s="1"/>
  <c r="E22" i="7"/>
  <c r="G48" i="6"/>
  <c r="F22" i="7" s="1"/>
  <c r="I48" i="6"/>
  <c r="G22" i="7" s="1"/>
  <c r="E23" i="7"/>
  <c r="G49" i="6"/>
  <c r="F23" i="7" s="1"/>
  <c r="I49" i="6"/>
  <c r="G23" i="7" s="1"/>
  <c r="E24" i="7"/>
  <c r="G50" i="6"/>
  <c r="F24" i="7" s="1"/>
  <c r="I50" i="6"/>
  <c r="G24" i="7" s="1"/>
  <c r="E25" i="7"/>
  <c r="G51" i="6"/>
  <c r="F25" i="7" s="1"/>
  <c r="I51" i="6"/>
  <c r="G25" i="7" s="1"/>
  <c r="E26" i="7"/>
  <c r="G52" i="6"/>
  <c r="F26" i="7" s="1"/>
  <c r="I52" i="6"/>
  <c r="G26" i="7" s="1"/>
  <c r="C97" i="7" l="1"/>
  <c r="C99" i="7" s="1"/>
  <c r="G74" i="6"/>
  <c r="D97" i="7" s="1"/>
  <c r="G16" i="7"/>
  <c r="G27" i="7" s="1"/>
  <c r="F53" i="6"/>
  <c r="F53" i="5"/>
  <c r="F55" i="5" l="1"/>
  <c r="G53" i="5"/>
  <c r="E27" i="7"/>
  <c r="B12" i="7"/>
  <c r="F55" i="6"/>
  <c r="G53" i="6"/>
  <c r="D57" i="6" l="1"/>
  <c r="O12" i="7" s="1"/>
  <c r="D56" i="6"/>
  <c r="G55" i="6"/>
  <c r="F27" i="7" l="1"/>
  <c r="C1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49" authorId="0" shapeId="0" xr:uid="{00000000-0006-0000-0300-000001000000}">
      <text>
        <r>
          <rPr>
            <sz val="10"/>
            <rFont val="Arial"/>
            <family val="2"/>
          </rPr>
          <t>Supuesto de referencia, no dato de la organización. Reemplazar por el promedio medido en proyectos propios.</t>
        </r>
      </text>
    </comment>
  </commentList>
</comments>
</file>

<file path=xl/sharedStrings.xml><?xml version="1.0" encoding="utf-8"?>
<sst xmlns="http://schemas.openxmlformats.org/spreadsheetml/2006/main" count="3345" uniqueCount="1625">
  <si>
    <t>Modelo de evaluación de madurez de la información para estimación de proyectos</t>
  </si>
  <si>
    <t>Propósito</t>
  </si>
  <si>
    <t>Evaluar, antes de estimar, qué tanto se conoce el alcance del proyecto en cada dimensión de estimación y qué tan madura es esa información. El resultado indica la confianza con la que se puede estimar, la técnica recomendada y las brechas a cerrar.</t>
  </si>
  <si>
    <t>Qué NO mide</t>
  </si>
  <si>
    <t>No estima esfuerzo ni costo. No evalúa riesgo e incertidumbre (dimensión 12 del catálogo, fuera de alcance).</t>
  </si>
  <si>
    <t>Hojas del libro</t>
  </si>
  <si>
    <t>Guia · Dimensiones (11 dimensiones y escalas) · Rubricas (109 criterios con descriptores 0–3) · Parametros (pesos, niveles, umbrales) · Ficha (plantilla en blanco) · Ejemplo (ficha diligenciada) · Resultados (tablero de la ficha seleccionada) · Glosario.</t>
  </si>
  <si>
    <t>Paso 1 · Datos generales</t>
  </si>
  <si>
    <t>En la hoja Ficha, completar proyecto, cliente, evaluadores, fecha, momento de estimación y fuentes revisadas.</t>
  </si>
  <si>
    <t>Paso 2 · Caracterización (Parte A)</t>
  </si>
  <si>
    <t>Registrar los valores de clasificación del catálogo: composición del tipo de desarrollo, arquetipo, N° de procesos funcionales, factores de complejidad, interfaces, % de reuso, entorno, contexto, sector y comparables. La hoja calcula la clase de tamaño, el nivel de complejidad, I0–I3, R1–R4, M1–M4 y E1–E4.</t>
  </si>
  <si>
    <t>Paso 3 · Evaluación (Parte B)</t>
  </si>
  <si>
    <t>Calificar cada criterio de 0 a 3 con la rúbrica de la hoja Rubricas, y registrar la evidencia. Usar N/A solo cuando el criterio lo admite.</t>
  </si>
  <si>
    <t>Paso 4 · Revisar hallazgos</t>
  </si>
  <si>
    <t>La columna «Hallazgo o comentario sugerido» explica la brecha cuando el puntaje es 0–1 y pide validar cuando es 2.</t>
  </si>
  <si>
    <t>Paso 5 · Revisar validaciones</t>
  </si>
  <si>
    <t>El bloque de validaciones cruza la caracterización con los criterios y marca inconsistencias (⚠ Revisar).</t>
  </si>
  <si>
    <t>Paso 6 · Resultados</t>
  </si>
  <si>
    <t>En la hoja Resultados seleccionar la ficha (Ejemplo o Ficha) para ver madurez por dimensión, nivel general, top 10 brechas y validaciones.</t>
  </si>
  <si>
    <t>Cálculo · criterio</t>
  </si>
  <si>
    <t>Obtenido = puntaje × peso interno (1–3). Máximo = 3 × peso interno (0 si es N/A).</t>
  </si>
  <si>
    <t>Cálculo · dimensión</t>
  </si>
  <si>
    <t>Madurez de la dimensión = Σ obtenido / Σ máximo (0–100%). Criterio núcleo en blanco cuenta como 0. Dimensión complementaria sin ningún puntaje se excluye.</t>
  </si>
  <si>
    <t>Cálculo · general</t>
  </si>
  <si>
    <t>Madurez general = Σ (peso dimensión × madurez) / Σ peso de dimensiones incluidas. Núcleo = 70% del peso; cada núcleo pesa más que cualquier complementaria.</t>
  </si>
  <si>
    <t>Regla de tope</t>
  </si>
  <si>
    <t>Si alguna dimensión núcleo queda por debajo del 40%, el nivel general no puede superar N3, aunque el promedio sea mayor.</t>
  </si>
  <si>
    <t>Niveles</t>
  </si>
  <si>
    <t>N1 Incipiente (&lt;20%) · N2 Preliminar (20–40%) · N3 Intermedio (40–60%) · N4 Definido (60–80%) · N5 Validado (≥80%).</t>
  </si>
  <si>
    <t>Prioridad de brechas</t>
  </si>
  <si>
    <t>Índice = (3 − puntaje) × peso interno × peso de la dimensión. Ordena qué información conseguir primero.</t>
  </si>
  <si>
    <t>Convenciones de color</t>
  </si>
  <si>
    <t>Amarillo con texto azul: dato de entrada. Verde: vínculo a otra hoja. Negro: fórmula. Azul claro: dimensión núcleo. Gris: complementaria.</t>
  </si>
  <si>
    <t>Reutilizar la ficha</t>
  </si>
  <si>
    <t>Para un nuevo proyecto, copiar la hoja Ficha (clic derecho › Mover o copiar) o limpiar las celdas amarillas. Para ver sus resultados en la hoja Resultados, el nombre debe ser «Ficha» o «Ejemplo» (o agregarlo a la lista de C3).</t>
  </si>
  <si>
    <t>Dimensiones de estimación, subdimensiones y escalas de caracterización</t>
  </si>
  <si>
    <t>Se evalúan 11 dimensiones. La dimensión 12 (Riesgo e incertidumbre) queda fuera de este modelo. Las 5 dimensiones núcleo son obligatorias y concentran el mayor peso.</t>
  </si>
  <si>
    <t>Código</t>
  </si>
  <si>
    <t>Dimensión</t>
  </si>
  <si>
    <t>Tipo</t>
  </si>
  <si>
    <t>Peso</t>
  </si>
  <si>
    <t>Qué busca caracterizar</t>
  </si>
  <si>
    <t>Cómo determinarla</t>
  </si>
  <si>
    <t>Escala de caracterización (catálogo)</t>
  </si>
  <si>
    <t>Subdimensiones</t>
  </si>
  <si>
    <t>N° criterios</t>
  </si>
  <si>
    <t>Suma pesos internos</t>
  </si>
  <si>
    <t>Referencia</t>
  </si>
  <si>
    <t>D1</t>
  </si>
  <si>
    <t>Tipo de desarrollo</t>
  </si>
  <si>
    <t>Núcleo</t>
  </si>
  <si>
    <t>Qué se está haciendo sobre el activo de software.</t>
  </si>
  <si>
    <t>Identificar qué porcentaje del alcance corresponde a crear, modificar, reemplazar o corregir software existente.</t>
  </si>
  <si>
    <t>Nuevo desarrollo / Enhancement-evolutivo / Modernización-redevelopment / Mantenimiento (componente predominante &gt; 50%).</t>
  </si>
  <si>
    <t>Composición del cambio · Línea base del activo · Frontera y componentes · Impacto y regresión</t>
  </si>
  <si>
    <t>ISBSG (Development Type) + GAO (software nuevo, modificado, reutilizado)</t>
  </si>
  <si>
    <t>D2</t>
  </si>
  <si>
    <t>Tipo de solución / arquetipo</t>
  </si>
  <si>
    <t>Naturaleza predominante de lo que se construye.</t>
  </si>
  <si>
    <t>Determinar el objeto tecnológico predominante del esfuerzo con la pregunta dominante del catálogo.</t>
  </si>
  <si>
    <t>Aplicaciones · Integración · Datos/IA · Plataforma · Seguridad · Modernización (principal + secundarios).</t>
  </si>
  <si>
    <t>Objeto predominante · Distribución del esfuerzo · Drivers de esfuerzo · Validación de la clasificación</t>
  </si>
  <si>
    <t>ISBSG (Application Group/Type) + adaptación organizacional</t>
  </si>
  <si>
    <t>D3</t>
  </si>
  <si>
    <t>Tamaño funcional</t>
  </si>
  <si>
    <t>Cuánto producto debe construirse o modificarse.</t>
  </si>
  <si>
    <t>Medir la cantidad de funcionalidad mediante procesos funcionales y movimientos de datos (o unidad interna calibrada).</t>
  </si>
  <si>
    <t>XS (1–5) · S (6–15) · M (16–30) · L (31–60) · XL (&gt;60) procesos funcionales; tamaño en puntos de función.</t>
  </si>
  <si>
    <t>Estrategia de medición · Usuarios funcionales y frontera · Procesos funcionales · Datos · Movimientos de datos · Requisitos no funcionales · Consolidación</t>
  </si>
  <si>
    <t>ISBSG + GAO + medición funcional ISO/IEC 19761</t>
  </si>
  <si>
    <t>D4</t>
  </si>
  <si>
    <t>Complejidad</t>
  </si>
  <si>
    <t>Qué tan difícil es implementar ese tamaño.</t>
  </si>
  <si>
    <t>Calificar 5 factores de 0 a 2 (reglas, arquitectura, seguridad, procesamiento, dependencias).</t>
  </si>
  <si>
    <t>0–2 Baja · 3–5 Media · 6–8 Alta · 9–10 Muy alta.</t>
  </si>
  <si>
    <t>Reglas de negocio · Procesamiento · Arquitectura · Seguridad · Calidad y operación · Cumplimiento · Dependencias · Consolidación</t>
  </si>
  <si>
    <t>GAO (complejidad funcional y técnica)</t>
  </si>
  <si>
    <t>D5</t>
  </si>
  <si>
    <t>Integración / interdependencia</t>
  </si>
  <si>
    <t>Cuánto depende la solución de otros sistemas.</t>
  </si>
  <si>
    <t>Contar interfaces y evaluar su dificultad (cantidad + dificultad).</t>
  </si>
  <si>
    <t>I0 sin interfaces · I1 1–2 simples · I2 3–5 o alguna compleja · I3 &gt;5, sistemas críticos, protocolos no conocidos o múltiples terceros.</t>
  </si>
  <si>
    <t>Inventario de interfaces · Contratos y protocolos · Transformación de datos · Comportamiento y errores · Seguridad de integración · Terceros y ambientes · Consolidación</t>
  </si>
  <si>
    <t>GAO (interfaces e interacciones)</t>
  </si>
  <si>
    <t>D6</t>
  </si>
  <si>
    <t>Novedad y reutilización</t>
  </si>
  <si>
    <t>Complementaria</t>
  </si>
  <si>
    <t>Cuánto puede aprovecharse de activos existentes.</t>
  </si>
  <si>
    <t>Estimar qué porcentaje del alcance puede resolverse con conocimiento, código, componentes o patrones existentes.</t>
  </si>
  <si>
    <t>R1 &gt;70% · R2 40–70% · R3 10–40% · R4 &lt;10% reutilizable.</t>
  </si>
  <si>
    <t>Inventario de activos · Clasificación del reuso · Calidad del activo · Consolidación</t>
  </si>
  <si>
    <t>GAO (nuevo, adaptado, reutilizado, autogenerado)</t>
  </si>
  <si>
    <t>D7</t>
  </si>
  <si>
    <t>Entorno tecnológico</t>
  </si>
  <si>
    <t>Contexto técnico en que será implementado.</t>
  </si>
  <si>
    <t>Identificar tecnología y grado de familiaridad del equipo.</t>
  </si>
  <si>
    <t>T1 Conocido · T2 Parcialmente conocido · T3 Nuevo · T4 Experimental.</t>
  </si>
  <si>
    <t>Stack · Plataforma y datos · Familiaridad · Herramientas y ambientes · Restricciones</t>
  </si>
  <si>
    <t>ISBSG + GAO</t>
  </si>
  <si>
    <t>D8</t>
  </si>
  <si>
    <t>Madurez del alcance</t>
  </si>
  <si>
    <t>Cuánto se conoce realmente de lo solicitado.</t>
  </si>
  <si>
    <t>Checklist de 8 elementos del catálogo (objetivo, roles, funcionalidades, reglas, integraciones, datos, RNF, criterios de aceptación).</t>
  </si>
  <si>
    <t>M1 Idea (0–2) · M2 Preliminar (3–4) · M3 Definido (5–6) · M4 Validado (7–8) elementos con puntaje ≥ 2.</t>
  </si>
  <si>
    <t>Definición del problema · Requisitos funcionales · Datos e integraciones · Requisitos no funcionales · Criterios de aceptación · Límites y validación</t>
  </si>
  <si>
    <t>GAO + propuesta</t>
  </si>
  <si>
    <t>D9</t>
  </si>
  <si>
    <t>Contexto de ejecución</t>
  </si>
  <si>
    <t>Condiciones bajo las cuales se desarrollará.</t>
  </si>
  <si>
    <t>Evaluar condiciones del equipo y forma de ejecución (8 variables del catálogo).</t>
  </si>
  <si>
    <t>Estable · Parcialmente conocido · Incierto.</t>
  </si>
  <si>
    <t>Equipo · Forma de trabajo · Dependencias externas</t>
  </si>
  <si>
    <t>GAO + ISBSG</t>
  </si>
  <si>
    <t>D10</t>
  </si>
  <si>
    <t>Sector / contexto de negocio</t>
  </si>
  <si>
    <t>Condiciones externas que afectan el proyecto.</t>
  </si>
  <si>
    <t>Clasificar dominio y restricciones externas.</t>
  </si>
  <si>
    <t>Gobierno · Financiero · Salud · Comercio · Telecomunicaciones · Otros.</t>
  </si>
  <si>
    <t>Dominio · Regulación · Contratación y gobierno del proyecto</t>
  </si>
  <si>
    <t>ISBSG</t>
  </si>
  <si>
    <t>D11</t>
  </si>
  <si>
    <t>Evidencia histórica disponible</t>
  </si>
  <si>
    <t>Qué tan comparable es el histórico utilizado.</t>
  </si>
  <si>
    <t>Evaluar cantidad, similitud y calidad de los proyectos comparables (p. ej. Jira).</t>
  </si>
  <si>
    <t>E1 0–1 · E2 2–3 · E3 4–7 · E4 ≥8 comparables.</t>
  </si>
  <si>
    <t>Cantidad y similitud · Calidad del dato · Explotación del histórico</t>
  </si>
  <si>
    <t>Total</t>
  </si>
  <si>
    <t>Matriz de rúbricas y subdimensiones</t>
  </si>
  <si>
    <t>Cada criterio se califica de 0 a 3 según los descriptores. El peso interno (1–3) indica la importancia del criterio dentro de su dimensión. El hallazgo sugerido se muestra en la ficha cuando el puntaje es 0 o 1.</t>
  </si>
  <si>
    <t>ID</t>
  </si>
  <si>
    <t>Subdimensión</t>
  </si>
  <si>
    <t>Criterio</t>
  </si>
  <si>
    <t>Pregunta de evaluación</t>
  </si>
  <si>
    <t>Evidencia esperada</t>
  </si>
  <si>
    <t>0 – Sin información</t>
  </si>
  <si>
    <t>1 – Parcial / supuesto</t>
  </si>
  <si>
    <t>2 – Definido con vacíos</t>
  </si>
  <si>
    <t>3 – Completo y validado</t>
  </si>
  <si>
    <t>Peso interno (1–3)</t>
  </si>
  <si>
    <t>¿Admite N/A?</t>
  </si>
  <si>
    <t>Hallazgo sugerido (puntaje 0–1)</t>
  </si>
  <si>
    <t>Origen</t>
  </si>
  <si>
    <t>D1.01</t>
  </si>
  <si>
    <t>Composición del cambio</t>
  </si>
  <si>
    <t>Composición del alcance cuantificada</t>
  </si>
  <si>
    <t>¿Se conoce qué porcentaje del alcance corresponde a crear, modificar, reemplazar/transformar o corregir software?</t>
  </si>
  <si>
    <t>Tabla de composición por tipo de cambio que suma 100%.</t>
  </si>
  <si>
    <t>No se conoce la naturaleza del cambio.</t>
  </si>
  <si>
    <t>Se describe cualitativamente (p. ej. «es un desarrollo nuevo») sin cuantificar.</t>
  </si>
  <si>
    <t>Porcentajes estimados por juicio, sin detalle por funcionalidad.</t>
  </si>
  <si>
    <t>Porcentajes derivados del inventario de funcionalidades clasificadas por tipo de cambio.</t>
  </si>
  <si>
    <t>No</t>
  </si>
  <si>
    <t>No está cuantificada la proporción nuevo / modificado / reemplazado / correctivo. Clasificar cada funcionalidad del inventario por tipo de cambio y totalizar.</t>
  </si>
  <si>
    <t>Catálogo</t>
  </si>
  <si>
    <t>D1.02</t>
  </si>
  <si>
    <t>Tipo de desarrollo asignado y justificado</t>
  </si>
  <si>
    <t>¿El tipo de desarrollo (Nuevo, Enhancement/evolutivo, Modernización/redevelopment, Mantenimiento) está asignado según el componente predominante?</t>
  </si>
  <si>
    <t>Clasificación registrada con justificación trazable a la composición.</t>
  </si>
  <si>
    <t>No asignado.</t>
  </si>
  <si>
    <t>Asignado por el nombre del proyecto o por percepción.</t>
  </si>
  <si>
    <t>Asignado según la composición, sin justificación documentada.</t>
  </si>
  <si>
    <t>Asignado por el componente predominante (&gt;50%) y justificado; componentes secundarios registrados.</t>
  </si>
  <si>
    <t>El tipo de desarrollo no está asignado o no se justifica con la composición del alcance. Asignarlo según el tipo de cambio que concentra la mayor proporción.</t>
  </si>
  <si>
    <t>D1.03</t>
  </si>
  <si>
    <t>Línea base del activo</t>
  </si>
  <si>
    <t>Línea base funcional del sistema existente</t>
  </si>
  <si>
    <t>¿Existe inventario de las funcionalidades actuales del sistema que se modifica, reemplaza o mantiene?</t>
  </si>
  <si>
    <t>Inventario funcional, manual de usuario o medición previa del sistema.</t>
  </si>
  <si>
    <t>No hay información del sistema actual.</t>
  </si>
  <si>
    <t>Solo conocimiento tácito de personas clave.</t>
  </si>
  <si>
    <t>Documentación parcial o desactualizada.</t>
  </si>
  <si>
    <t>Inventario funcional actualizado (idealmente con tamaño medido).</t>
  </si>
  <si>
    <t>Sí</t>
  </si>
  <si>
    <t>No hay línea base funcional del activo existente; sin ella no puede medirse el tamaño del cambio ni el alcance de regresión. Levantar el inventario de funcionalidades actuales.</t>
  </si>
  <si>
    <t>Medición funcional</t>
  </si>
  <si>
    <t>D1.04</t>
  </si>
  <si>
    <t>Funcionalidades nuevas identificadas</t>
  </si>
  <si>
    <t>¿Se listan las funcionalidades que se agregan, desagregadas al nivel de proceso funcional?</t>
  </si>
  <si>
    <t>Listado de funcionalidades nuevas con identificador único.</t>
  </si>
  <si>
    <t>No se han identificado.</t>
  </si>
  <si>
    <t>Descritas como módulos o épicas.</t>
  </si>
  <si>
    <t>Listadas con granularidad heterogénea.</t>
  </si>
  <si>
    <t>Listadas a nivel de proceso funcional (responde a un evento y termina al completar su respuesta) con ID.</t>
  </si>
  <si>
    <t>Las funcionalidades nuevas no están desagregadas a nivel de proceso funcional. Descomponer módulos/épicas en acciones completas iniciadas por un evento.</t>
  </si>
  <si>
    <t>D1.05</t>
  </si>
  <si>
    <t>Funcionalidades modificadas y naturaleza del cambio</t>
  </si>
  <si>
    <t>Para cada funcionalidad existente que cambia, ¿se identifica qué datos que entran, salen, se consultan o se almacenan se agregan, modifican o eliminan?</t>
  </si>
  <si>
    <t>Lista de funcionalidades impactadas con el detalle de los movimientos de datos afectados.</t>
  </si>
  <si>
    <t>No identificadas.</t>
  </si>
  <si>
    <t>Se sabe que hay cambios en ciertos módulos, sin listar funcionalidades.</t>
  </si>
  <si>
    <t>Funcionalidades impactadas listadas, sin detalle del cambio.</t>
  </si>
  <si>
    <t>Funcionalidades y movimientos de datos agregados / modificados / eliminados identificados.</t>
  </si>
  <si>
    <t>No se detalla qué cambia en las funcionalidades existentes. En evolutivos el tamaño es la suma de movimientos de datos agregados, modificados y eliminados; identificarlos.</t>
  </si>
  <si>
    <t>D1.06</t>
  </si>
  <si>
    <t>Funcionalidades retiradas</t>
  </si>
  <si>
    <t>¿Se identifican funcionalidades, interfaces o datos que se eliminan o dan de baja (o se declara explícitamente que no existen)?</t>
  </si>
  <si>
    <t>Listado de retiros o declaración explícita de ausencia.</t>
  </si>
  <si>
    <t>No se ha analizado.</t>
  </si>
  <si>
    <t>Se mencionan retiros sin detalle.</t>
  </si>
  <si>
    <t>Retiros listados sin análisis de impacto (o ausencia no confirmada).</t>
  </si>
  <si>
    <t>Retiros listados con impacto en datos, usuarios e interfaces, o ausencia confirmada.</t>
  </si>
  <si>
    <t>No se ha analizado si hay funcionalidad a retirar; los retiros también consumen esfuerzo (movimientos eliminados, datos, pruebas). Confirmarlo explícitamente.</t>
  </si>
  <si>
    <t>D1.07</t>
  </si>
  <si>
    <t>Frontera y componentes</t>
  </si>
  <si>
    <t>Frontera del software definida</t>
  </si>
  <si>
    <t>¿Está claro qué software se construye o modifica (dentro del alcance) y qué sistemas, usuarios o componentes quedan fuera?</t>
  </si>
  <si>
    <t>Diagrama de contexto con piezas de software en alcance y actores externos.</t>
  </si>
  <si>
    <t>No definida.</t>
  </si>
  <si>
    <t>Implícita o ambigua.</t>
  </si>
  <si>
    <t>Diagrama de contexto sin validar o con ambigüedades menores.</t>
  </si>
  <si>
    <t>Frontera validada con piezas en alcance y usuarios externos explícitos.</t>
  </si>
  <si>
    <t>La frontera del software no es explícita; hay riesgo de contar de más o de menos. Elaborar diagrama de contexto con piezas en alcance y sistemas externos.</t>
  </si>
  <si>
    <t>D1.08</t>
  </si>
  <si>
    <t>Capas y componentes afectados</t>
  </si>
  <si>
    <t>¿Se identifican las capas (presentación, negocio, servicios, datos) y los componentes que se crean o modifican?</t>
  </si>
  <si>
    <t>Vista de arquitectura con componentes marcados como nuevos o modificados.</t>
  </si>
  <si>
    <t>No identificados.</t>
  </si>
  <si>
    <t>Se mencionan tecnologías sin ubicar componentes.</t>
  </si>
  <si>
    <t>Componentes identificados sin clasificar nuevo/modificado.</t>
  </si>
  <si>
    <t>Componentes por capa identificados y clasificados.</t>
  </si>
  <si>
    <t>No se identifican componentes/capas afectados; cada componente con frontera propia puede requerir medición y pruebas independientes.</t>
  </si>
  <si>
    <t>D1.09</t>
  </si>
  <si>
    <t>Documentación técnica y código del activo</t>
  </si>
  <si>
    <t>¿Están disponibles y actualizados el código fuente, la documentación técnica y los ambientes del sistema existente?</t>
  </si>
  <si>
    <t>Acceso confirmado a repositorio, arquitectura y modelo de datos.</t>
  </si>
  <si>
    <t>No disponible.</t>
  </si>
  <si>
    <t>Disponible parcialmente o sin acceso confirmado.</t>
  </si>
  <si>
    <t>Disponible con vacíos conocidos.</t>
  </si>
  <si>
    <t>Disponible, actualizado y con acceso confirmado.</t>
  </si>
  <si>
    <t>No se confirma acceso ni estado del código/documentación del activo existente; aumenta el esfuerzo de análisis. Solicitar acceso y evaluar su estado.</t>
  </si>
  <si>
    <t>Buenas prácticas</t>
  </si>
  <si>
    <t>D1.10</t>
  </si>
  <si>
    <t>Impacto y regresión</t>
  </si>
  <si>
    <t>Alcance de regresión</t>
  </si>
  <si>
    <t>¿Se conocen las funcionalidades existentes que deben volver a probarse por efecto de los cambios?</t>
  </si>
  <si>
    <t>Matriz de impacto o suite de regresión identificada.</t>
  </si>
  <si>
    <t>No se ha considerado.</t>
  </si>
  <si>
    <t>Se reconoce la necesidad sin identificar funcionalidades.</t>
  </si>
  <si>
    <t>Funcionalidades a regresionar identificadas, sin estrategia.</t>
  </si>
  <si>
    <t>Alcance y estrategia de regresión definidos (manual/automatizada, suites existentes).</t>
  </si>
  <si>
    <t>No está definido el alcance de regresión; en evolutivos y modernizaciones es un driver de esfuerzo relevante.</t>
  </si>
  <si>
    <t>D1.11</t>
  </si>
  <si>
    <t>Equivalencia funcional en modernización</t>
  </si>
  <si>
    <t>Cuando se transforma un activo, ¿se define qué comportamiento debe preservarse y cómo se verificará la equivalencia?</t>
  </si>
  <si>
    <t>Criterios de equivalencia y casos de referencia.</t>
  </si>
  <si>
    <t>No definido.</t>
  </si>
  <si>
    <t>Se asume «igual al actual» sin detalle.</t>
  </si>
  <si>
    <t>Funcionalidades a preservar listadas, sin criterio de verificación.</t>
  </si>
  <si>
    <t>Funcionalidades a preservar, cambios aceptados y método de verificación definidos.</t>
  </si>
  <si>
    <t>En la modernización no se define qué debe preservarse ni cómo verificar la equivalencia funcional.</t>
  </si>
  <si>
    <t>D1.12</t>
  </si>
  <si>
    <t>Separación correctivo vs. evolutivo</t>
  </si>
  <si>
    <t>¿Se distinguen las correcciones de defectos de los cambios y nuevas funcionalidades?</t>
  </si>
  <si>
    <t>Backlog clasificado (defecto / cambio / nueva funcionalidad).</t>
  </si>
  <si>
    <t>Mezclado sin clasificar.</t>
  </si>
  <si>
    <t>Separación parcial.</t>
  </si>
  <si>
    <t>Separado sin criterio formal.</t>
  </si>
  <si>
    <t>Clasificado con criterio acordado.</t>
  </si>
  <si>
    <t>Correcciones y nuevos requerimientos no están separados; distorsiona el tipo de desarrollo y la comparación con el histórico.</t>
  </si>
  <si>
    <t>D2.01</t>
  </si>
  <si>
    <t>Objeto predominante</t>
  </si>
  <si>
    <t>Objeto tecnológico predominante</t>
  </si>
  <si>
    <t>¿Se identifica qué concentra el trabajo: funcionalidades y reglas, intercambio entre sistemas, datos/modelos, capacidades compartidas, controles/identidad o transformación de un activo existente?</t>
  </si>
  <si>
    <t>Respuesta a la pregunta dominante del catálogo con evidencia del alcance.</t>
  </si>
  <si>
    <t>No identificado.</t>
  </si>
  <si>
    <t>Inferido del nombre del proyecto.</t>
  </si>
  <si>
    <t>Identificado a partir del alcance, sin evidencia cuantitativa.</t>
  </si>
  <si>
    <t>Identificado y soportado con evidencia (inventario, drivers).</t>
  </si>
  <si>
    <t>No está identificado el objeto tecnológico predominante. Aplicar la pregunta dominante del catálogo sobre el inventario del alcance.</t>
  </si>
  <si>
    <t>D2.02</t>
  </si>
  <si>
    <t>Arquetipo principal según esfuerzo</t>
  </si>
  <si>
    <t>¿El arquetipo principal corresponde al trabajo que explica la mayor proporción del esfuerzo esperado, y no al componente más visible?</t>
  </si>
  <si>
    <t>Justificación basada en el esfuerzo esperado.</t>
  </si>
  <si>
    <t>Asignado por el componente más visible o la tecnología.</t>
  </si>
  <si>
    <t>Asignado por esfuerzo con justificación cualitativa.</t>
  </si>
  <si>
    <t>Asignado por esfuerzo con distribución cuantificada.</t>
  </si>
  <si>
    <t>El arquetipo principal se asignó por el componente más visible o no se asignó. Reasignarlo según la mayor proporción del esfuerzo esperado.</t>
  </si>
  <si>
    <t>D2.03</t>
  </si>
  <si>
    <t>Distribución del esfuerzo</t>
  </si>
  <si>
    <t>Distribución del alcance por arquetipo</t>
  </si>
  <si>
    <t>¿Se estima qué porcentaje del alcance o esfuerzo corresponde a cada arquetipo?</t>
  </si>
  <si>
    <t>Porcentajes por arquetipo.</t>
  </si>
  <si>
    <t>No estimada.</t>
  </si>
  <si>
    <t>Se reconoce una mezcla sin porcentajes.</t>
  </si>
  <si>
    <t>Porcentajes aproximados por juicio.</t>
  </si>
  <si>
    <t>Porcentajes derivados del inventario funcional o la WBS.</t>
  </si>
  <si>
    <t>No se estima la distribución del alcance entre arquetipos; impide seleccionar comparables y drivers adecuados.</t>
  </si>
  <si>
    <t>D2.04</t>
  </si>
  <si>
    <t>Arquetipos secundarios</t>
  </si>
  <si>
    <t>¿Se registran los arquetipos secundarios cuando una parte significativa (≈ ≥15%) del alcance pertenece a otras categorías?</t>
  </si>
  <si>
    <t>Arquetipos secundarios con peso aproximado.</t>
  </si>
  <si>
    <t>No analizados.</t>
  </si>
  <si>
    <t>Mencionados sin peso.</t>
  </si>
  <si>
    <t>Identificados con peso aproximado.</t>
  </si>
  <si>
    <t>Identificados, ponderados y con sus drivers.</t>
  </si>
  <si>
    <t>No se analizaron arquetipos secundarios; su esfuerzo (p. ej. seguridad o integración embebidas) puede quedar subestimado.</t>
  </si>
  <si>
    <t>D2.05</t>
  </si>
  <si>
    <t>Validación de la clasificación</t>
  </si>
  <si>
    <t>Independencia del nombre comercial</t>
  </si>
  <si>
    <t>¿La clasificación se contrastó contra el contenido real del alcance y no depende del nombre del proyecto?</t>
  </si>
  <si>
    <t>Contraste documentado contra el inventario.</t>
  </si>
  <si>
    <t>Basada solo en el nombre.</t>
  </si>
  <si>
    <t>Contraste superficial.</t>
  </si>
  <si>
    <t>Contrastada contra la lista de funcionalidades.</t>
  </si>
  <si>
    <t>Contrastada contra inventario y drivers, con discrepancias resueltas.</t>
  </si>
  <si>
    <t>La clasificación parece depender del nombre del proyecto. Contrastarla con el inventario funcional y los drivers.</t>
  </si>
  <si>
    <t>D2.06</t>
  </si>
  <si>
    <t>Drivers de esfuerzo</t>
  </si>
  <si>
    <t>Drivers del arquetipo principal</t>
  </si>
  <si>
    <t>¿Se identifican y cuantifican los drivers típicos del arquetipo principal (p. ej. Aplicaciones: funcionalidades, reglas, roles, pantallas, flujos; Integración: interfaces, protocolos, transformaciones; Datos/IA: fuentes, volumen, calidad, modelos; Plataforma: ambientes, componentes, SLA; Seguridad: identidades, controles, certificados; Modernización: tamaño del activo, deuda técnica, datos a migrar)?</t>
  </si>
  <si>
    <t>Tabla de drivers con valores y fuente.</t>
  </si>
  <si>
    <t>Nombrados sin cuantificar.</t>
  </si>
  <si>
    <t>La mayoría cuantificados.</t>
  </si>
  <si>
    <t>Todos cuantificados con fuente.</t>
  </si>
  <si>
    <t>Los drivers de esfuerzo del arquetipo principal no están cuantificados. Registrar los valores de cada driver típico del catálogo.</t>
  </si>
  <si>
    <t>D2.07</t>
  </si>
  <si>
    <t>Drivers de arquetipos secundarios</t>
  </si>
  <si>
    <t>¿Se identifican y cuantifican los drivers de los arquetipos secundarios?</t>
  </si>
  <si>
    <t>Tabla de drivers de secundarios.</t>
  </si>
  <si>
    <t>Parcialmente cuantificados.</t>
  </si>
  <si>
    <t>Cuantificados con fuente.</t>
  </si>
  <si>
    <t>Los drivers de los arquetipos secundarios no están cuantificados.</t>
  </si>
  <si>
    <t>D2.08</t>
  </si>
  <si>
    <t>Tipo de usuario funcional predominante</t>
  </si>
  <si>
    <t>¿Se identifica quién intercambia datos con la solución (personas por rol, otros sistemas, dispositivos) y es coherente con el arquetipo (p. ej. en Integración predominan sistemas)?</t>
  </si>
  <si>
    <t>Lista de usuarios funcionales por tipo y rol.</t>
  </si>
  <si>
    <t>Solo usuarios humanos genéricos.</t>
  </si>
  <si>
    <t>Identificados por tipo.</t>
  </si>
  <si>
    <t>Identificados por tipo y rol, coherentes con el arquetipo.</t>
  </si>
  <si>
    <t>No están caracterizados los usuarios funcionales (personas, sistemas, dispositivos) o no son coherentes con el arquetipo asignado.</t>
  </si>
  <si>
    <t>D2.09</t>
  </si>
  <si>
    <t>Componentes de terceros / SaaS</t>
  </si>
  <si>
    <t>¿Se identifican productos de terceros, paquetes o SaaS y se distingue configuración de desarrollo a medida?</t>
  </si>
  <si>
    <t>Lista de productos con alcance de configuración vs. desarrollo.</t>
  </si>
  <si>
    <t>Mencionados.</t>
  </si>
  <si>
    <t>Identificados con nivel de personalización aproximado.</t>
  </si>
  <si>
    <t>Identificados con configuración y desarrollo diferenciados.</t>
  </si>
  <si>
    <t>No se diferencian configuración de terceros y desarrollo a medida; su esfuerzo se comporta distinto.</t>
  </si>
  <si>
    <t>D2.10</t>
  </si>
  <si>
    <t>Entregables no software separados</t>
  </si>
  <si>
    <t>¿Se separan del alcance de software los entregables que no son funcionalidad (licencias, infraestructura, capacitación, migración manual, soporte, documentación)?</t>
  </si>
  <si>
    <t>Lista de entregables no funcionales separada.</t>
  </si>
  <si>
    <t>No considerados.</t>
  </si>
  <si>
    <t>Mencionados mezclados con el alcance.</t>
  </si>
  <si>
    <t>Separados parcialmente.</t>
  </si>
  <si>
    <t>Separados y dimensionados aparte.</t>
  </si>
  <si>
    <t>Entregables que no son funcionalidad están mezclados con el alcance de software; deben estimarse por separado.</t>
  </si>
  <si>
    <t>D2.11</t>
  </si>
  <si>
    <t>Resolución de solapamientos</t>
  </si>
  <si>
    <t>Cuando el trabajo cae entre categorías (IA vs. Datos, DevOps vs. Plataforma, SaaS personalizado vs. Aplicación, middleware vs. Integración), ¿se aplicó la regla de consolidación del catálogo?</t>
  </si>
  <si>
    <t>Decisión de consolidación documentada.</t>
  </si>
  <si>
    <t>Ambigüedad no resuelta.</t>
  </si>
  <si>
    <t>Resuelta por preferencia sin criterio.</t>
  </si>
  <si>
    <t>Resuelta con criterio, sin documentar.</t>
  </si>
  <si>
    <t>Resuelta con la regla del catálogo y documentada.</t>
  </si>
  <si>
    <t>Existe ambigüedad entre arquetipos sin resolver; aplicar la regla de consolidación del catálogo.</t>
  </si>
  <si>
    <t>D2.12</t>
  </si>
  <si>
    <t>Clasificación validada</t>
  </si>
  <si>
    <t>¿La clasificación fue revisada por al menos dos roles (p. ej. arquitecto y estimador) y registrada?</t>
  </si>
  <si>
    <t>Registro de revisión.</t>
  </si>
  <si>
    <t>Sin revisión.</t>
  </si>
  <si>
    <t>Un solo rol, sin registro.</t>
  </si>
  <si>
    <t>Dos roles sin registro formal, o un rol con registro.</t>
  </si>
  <si>
    <t>Validada por ≥ 2 roles y registrada.</t>
  </si>
  <si>
    <t>La clasificación no ha sido validada por un segundo rol.</t>
  </si>
  <si>
    <t>D3.01</t>
  </si>
  <si>
    <t>Estrategia de medición</t>
  </si>
  <si>
    <t>Propósito y alcance de la medición</t>
  </si>
  <si>
    <t>¿Está definido para qué se mide (cotización/estimación), qué piezas de software y capas se incluyen y qué se excluye?</t>
  </si>
  <si>
    <t>Declaración de propósito, alcance y exclusiones.</t>
  </si>
  <si>
    <t>Implícito.</t>
  </si>
  <si>
    <t>Definido sin exclusiones explícitas.</t>
  </si>
  <si>
    <t>Definido con piezas, capas y exclusiones explícitas.</t>
  </si>
  <si>
    <t>No están definidos el propósito ni el alcance de la medición; distintos estimadores medirán cosas distintas.</t>
  </si>
  <si>
    <t>D3.02</t>
  </si>
  <si>
    <t>Nivel de granularidad homogéneo</t>
  </si>
  <si>
    <t>¿Los requisitos tienen un nivel de detalle homogéneo que permite identificar procesos funcionales (sin mezclar épicas con tareas técnicas)?</t>
  </si>
  <si>
    <t>Backlog/requisitos revisados por nivel.</t>
  </si>
  <si>
    <t>Solo objetivos o épicas.</t>
  </si>
  <si>
    <t>Mezcla de niveles.</t>
  </si>
  <si>
    <t>Mayoría a nivel de funcionalidad.</t>
  </si>
  <si>
    <t>Todos a nivel de proceso funcional.</t>
  </si>
  <si>
    <t>La granularidad de los requisitos es heterogénea; medir con requisitos a distinto nivel genera errores de tamaño. Normalizar al nivel de proceso funcional.</t>
  </si>
  <si>
    <t>D3.03</t>
  </si>
  <si>
    <t>Usuarios funcionales y frontera</t>
  </si>
  <si>
    <t>Usuarios funcionales identificados</t>
  </si>
  <si>
    <t>¿Se identifican los emisores y receptores de datos (personas por rol, sistemas, dispositivos) de cada pieza de software?</t>
  </si>
  <si>
    <t>Lista de usuarios funcionales por pieza.</t>
  </si>
  <si>
    <t>Identificados parcialmente (faltan sistemas o dispositivos).</t>
  </si>
  <si>
    <t>Identificados todos, por tipo y rol.</t>
  </si>
  <si>
    <t>No están identificados todos los usuarios funcionales; sin ellos no se reconocen entradas y salidas de datos.</t>
  </si>
  <si>
    <t>D3.04</t>
  </si>
  <si>
    <t>Procesos funcionales</t>
  </si>
  <si>
    <t>Eventos desencadenantes</t>
  </si>
  <si>
    <t>¿Se identifica para cada funcionalidad el evento que la inicia (acción de usuario, mensaje de otro sistema, evento de tiempo)?</t>
  </si>
  <si>
    <t>Evento desencadenante por proceso.</t>
  </si>
  <si>
    <t>Implícitos en algunas historias.</t>
  </si>
  <si>
    <t>Identificados para la mayoría.</t>
  </si>
  <si>
    <t>Identificados para todos los procesos.</t>
  </si>
  <si>
    <t>No se identifican los eventos desencadenantes; es la base para delimitar correctamente cada proceso funcional.</t>
  </si>
  <si>
    <t>D3.05</t>
  </si>
  <si>
    <t>Inventario de procesos funcionales</t>
  </si>
  <si>
    <t>¿Existe un inventario completo de procesos funcionales (conjunto de movimientos de datos que responde a un evento desencadenante) con ID?</t>
  </si>
  <si>
    <t>Inventario con ID, usuario y evento.</t>
  </si>
  <si>
    <t>No existe.</t>
  </si>
  <si>
    <t>Lista de módulos o épicas.</t>
  </si>
  <si>
    <t>Inventario parcial (≈ ≥70% del alcance).</t>
  </si>
  <si>
    <t>Inventario completo y validado.</t>
  </si>
  <si>
    <t>No hay inventario de procesos funcionales; es el insumo principal del tamaño. Construirlo a partir de requisitos y talleres.</t>
  </si>
  <si>
    <t>D3.06</t>
  </si>
  <si>
    <t>Datos</t>
  </si>
  <si>
    <t>Objetos de interés y grupos de datos</t>
  </si>
  <si>
    <t>¿Se identifican los objetos de negocio sobre los que se maneja información y sus grupos de datos (modelo conceptual)?</t>
  </si>
  <si>
    <t>Modelo conceptual de datos.</t>
  </si>
  <si>
    <t>Entidades principales mencionadas.</t>
  </si>
  <si>
    <t>Modelo conceptual parcial.</t>
  </si>
  <si>
    <t>Modelo conceptual completo con atributos principales.</t>
  </si>
  <si>
    <t>No están identificados los objetos de interés ni los grupos de datos; sin ellos no pueden contarse movimientos de datos.</t>
  </si>
  <si>
    <t>D3.07</t>
  </si>
  <si>
    <t>Movimientos de datos</t>
  </si>
  <si>
    <t>Movimientos de datos por proceso</t>
  </si>
  <si>
    <t>¿Para cada proceso funcional se identifican Entradas, Salidas, Lecturas y Escrituras de grupos de datos?</t>
  </si>
  <si>
    <t>Matriz proceso × movimientos.</t>
  </si>
  <si>
    <t>Solo en ejemplos aislados.</t>
  </si>
  <si>
    <t>En una muestra representativa (≈ ≥30%) de procesos.</t>
  </si>
  <si>
    <t>En todos los procesos.</t>
  </si>
  <si>
    <t>No se identifican los movimientos de datos (Entradas, Salidas, Lecturas, Escrituras); el tamaño queda como aproximación. Medir al menos una muestra representativa.</t>
  </si>
  <si>
    <t>D3.08</t>
  </si>
  <si>
    <t>Consolidación del tamaño</t>
  </si>
  <si>
    <t>Unidad objetiva y clase de tamaño</t>
  </si>
  <si>
    <t>¿El tamaño se expresa en una unidad objetiva (puntos de función o unidad interna calibrada) con clase XS–XL?</t>
  </si>
  <si>
    <t>Tamaño y clase registrados con método.</t>
  </si>
  <si>
    <t>Sin medida.</t>
  </si>
  <si>
    <t>Medida subjetiva (horas, tallas por intuición).</t>
  </si>
  <si>
    <t>Conteo de funcionalidades/historias con clase asignada.</t>
  </si>
  <si>
    <t>Puntos de función medidos o aproximados con método documentado.</t>
  </si>
  <si>
    <t>El tamaño no está expresado en una unidad objetiva; no puede compararse con histórico ni convertirse a esfuerzo.</t>
  </si>
  <si>
    <t>D3.09</t>
  </si>
  <si>
    <t>Tamaño del cambio en evolutivos</t>
  </si>
  <si>
    <t>En evolutivos o mantenimiento, ¿se cuantifican por separado los movimientos de datos agregados, modificados y eliminados?</t>
  </si>
  <si>
    <t>Tamaño del cambio desagregado.</t>
  </si>
  <si>
    <t>No cuantificado.</t>
  </si>
  <si>
    <t>Estimado globalmente.</t>
  </si>
  <si>
    <t>Desagregado parcialmente.</t>
  </si>
  <si>
    <t>Desagregado en agregados, modificados y eliminados.</t>
  </si>
  <si>
    <t>El tamaño del cambio no está desagregado en agregados, modificados y eliminados.</t>
  </si>
  <si>
    <t>D3.10</t>
  </si>
  <si>
    <t>Requisitos no funcionales</t>
  </si>
  <si>
    <t>RNF que se convierten en funcionalidad</t>
  </si>
  <si>
    <t>¿Se identificaron requisitos aparentemente no funcionales que generan funcionalidad (auditoría/bitácora, notificaciones, gestión de usuarios y permisos, parametrización, exportaciones) y se incluyeron en el tamaño?</t>
  </si>
  <si>
    <t>Lista de RNF analizados y su tratamiento.</t>
  </si>
  <si>
    <t>Mencionados, no incluidos.</t>
  </si>
  <si>
    <t>Algunos incluidos.</t>
  </si>
  <si>
    <t>Todos analizados e incluidos o descartados con justificación.</t>
  </si>
  <si>
    <t>Requisitos como auditoría, notificaciones o gestión de permisos no se trasladaron al tamaño funcional; suelen omitirse y generar subestimación.</t>
  </si>
  <si>
    <t>D3.11</t>
  </si>
  <si>
    <t>Funcionalidad de administración y soporte</t>
  </si>
  <si>
    <t>¿Se incluyen procesos de mantenimiento de maestros, parámetros, catálogos y consultas de soporte?</t>
  </si>
  <si>
    <t>Procesos de administración en el inventario.</t>
  </si>
  <si>
    <t>Mencionados en general.</t>
  </si>
  <si>
    <t>Parcialmente listados.</t>
  </si>
  <si>
    <t>Listados y medidos.</t>
  </si>
  <si>
    <t>No se incluyen procesos de administración (maestros, parámetros, catálogos).</t>
  </si>
  <si>
    <t>D3.12</t>
  </si>
  <si>
    <t>Reportes, consultas y mensajes</t>
  </si>
  <si>
    <t>¿Se identifican reportes, consultas, exportaciones y mensajes al usuario asociados a los procesos?</t>
  </si>
  <si>
    <t>Lista de salidas por proceso.</t>
  </si>
  <si>
    <t>Mencionados sin detalle.</t>
  </si>
  <si>
    <t>Mayoría identificados.</t>
  </si>
  <si>
    <t>Todos identificados con su contenido.</t>
  </si>
  <si>
    <t>No se identifican reportes, consultas y exportaciones; son salidas de datos que aportan tamaño.</t>
  </si>
  <si>
    <t>D3.13</t>
  </si>
  <si>
    <t>Trazabilidad requisito – medición</t>
  </si>
  <si>
    <t>¿Existe trazabilidad entre cada requisito, el proceso funcional que lo implementa y su tamaño?</t>
  </si>
  <si>
    <t>Matriz de trazabilidad.</t>
  </si>
  <si>
    <t>Parcial e informal.</t>
  </si>
  <si>
    <t>Para la mayoría de requisitos.</t>
  </si>
  <si>
    <t>Completa.</t>
  </si>
  <si>
    <t>No hay trazabilidad requisito–proceso–tamaño; dificulta auditar la medición y gestionar cambios de alcance.</t>
  </si>
  <si>
    <t>D3.14</t>
  </si>
  <si>
    <t>Revisión de la medición</t>
  </si>
  <si>
    <t>¿La medición fue revisada por un segundo medidor o contrastada con el histórico y se documentó la variación?</t>
  </si>
  <si>
    <t>Registro de revisión y variación.</t>
  </si>
  <si>
    <t>Revisión informal.</t>
  </si>
  <si>
    <t>Revisada sin documentar variación.</t>
  </si>
  <si>
    <t>Revisada y variación documentada.</t>
  </si>
  <si>
    <t>La medición no ha sido revisada por un segundo medidor.</t>
  </si>
  <si>
    <t>D4.01</t>
  </si>
  <si>
    <t>Reglas de negocio</t>
  </si>
  <si>
    <t>Inventario de reglas de negocio</t>
  </si>
  <si>
    <t>¿Las reglas de negocio están identificadas con ID y asociadas a las funcionalidades?</t>
  </si>
  <si>
    <t>Catálogo de reglas con ID.</t>
  </si>
  <si>
    <t>Mencionadas en narrativa.</t>
  </si>
  <si>
    <t>Catálogo parcial.</t>
  </si>
  <si>
    <t>Catálogo completo asociado a funcionalidades.</t>
  </si>
  <si>
    <t>Las reglas de negocio no están inventariadas; su complejidad no puede calificarse.</t>
  </si>
  <si>
    <t>D4.02</t>
  </si>
  <si>
    <t>Caracterización de reglas</t>
  </si>
  <si>
    <t>¿Se conocen condiciones, excepciones, cálculos y fuentes normativas de las reglas para calificarlas como simples, moderadas o complejas?</t>
  </si>
  <si>
    <t>Reglas con condiciones y excepciones.</t>
  </si>
  <si>
    <t>Desconocidas.</t>
  </si>
  <si>
    <t>Solo casos principales.</t>
  </si>
  <si>
    <t>Casos principales y algunas excepciones.</t>
  </si>
  <si>
    <t>Condiciones, excepciones y fuentes documentadas.</t>
  </si>
  <si>
    <t>Las reglas no están caracterizadas (faltan excepciones o cálculos); la calificación de complejidad no es confiable.</t>
  </si>
  <si>
    <t>D4.03</t>
  </si>
  <si>
    <t>Procesamiento</t>
  </si>
  <si>
    <t>Manipulación de datos y algoritmos</t>
  </si>
  <si>
    <t>¿Se identifican cálculos, algoritmos, motores de reglas o validaciones complejas? (su dificultad no se refleja en el tamaño funcional y debe capturarse aquí)</t>
  </si>
  <si>
    <t>Lista de algoritmos o cálculos especiales.</t>
  </si>
  <si>
    <t>Identificados sin especificar.</t>
  </si>
  <si>
    <t>Identificados y especificados.</t>
  </si>
  <si>
    <t>No se identifican los cálculos o algoritmos especiales; el tamaño funcional no refleja esta dificultad.</t>
  </si>
  <si>
    <t>D4.04</t>
  </si>
  <si>
    <t>Tipo de procesamiento</t>
  </si>
  <si>
    <t>¿Se define si el procesamiento es en línea, por lotes, asíncrono o en tiempo real, y su exigencia?</t>
  </si>
  <si>
    <t>Definición por proceso o componente.</t>
  </si>
  <si>
    <t>Supuesto.</t>
  </si>
  <si>
    <t>Definido sin exigencias.</t>
  </si>
  <si>
    <t>Definido con exigencias cuantificadas.</t>
  </si>
  <si>
    <t>No está definido el tipo de procesamiento (en línea, lotes, tiempo real).</t>
  </si>
  <si>
    <t>D4.05</t>
  </si>
  <si>
    <t>Arquitectura</t>
  </si>
  <si>
    <t>Arquitectura objetivo y novedad</t>
  </si>
  <si>
    <t>¿La arquitectura está definida (estilo, componentes, patrones) y se califica su novedad (conocida / algunas novedades / nueva o sofisticada)?</t>
  </si>
  <si>
    <t>Documento o diagrama de arquitectura.</t>
  </si>
  <si>
    <t>Idea general.</t>
  </si>
  <si>
    <t>Definida sin calificar novedad.</t>
  </si>
  <si>
    <t>Definida y novedad calificada.</t>
  </si>
  <si>
    <t>La arquitectura objetivo no está definida o no se calificó su novedad.</t>
  </si>
  <si>
    <t>D4.06</t>
  </si>
  <si>
    <t>Seguridad</t>
  </si>
  <si>
    <t>Requisitos de seguridad clasificados</t>
  </si>
  <si>
    <t>¿Se conocen los requisitos de autenticación, autorización, cifrado, firma, PKI y auditoría, y su nivel (estándar / elevada / crítica)?</t>
  </si>
  <si>
    <t>Requisitos de seguridad con nivel.</t>
  </si>
  <si>
    <t>Desconocidos.</t>
  </si>
  <si>
    <t>Enunciados genéricos («debe ser seguro»).</t>
  </si>
  <si>
    <t>Identificados sin nivel o con vacíos.</t>
  </si>
  <si>
    <t>Identificados, especificados y clasificados.</t>
  </si>
  <si>
    <t>Los requisitos de seguridad no están especificados ni clasificados.</t>
  </si>
  <si>
    <t>D4.07</t>
  </si>
  <si>
    <t>Calidad y operación</t>
  </si>
  <si>
    <t>Desempeño y volumen cuantificados</t>
  </si>
  <si>
    <t>¿Se cuantifican usuarios concurrentes, transacciones, tiempos de respuesta y volumen de datos?</t>
  </si>
  <si>
    <t>Valores numéricos de desempeño.</t>
  </si>
  <si>
    <t>Cualitativos («rápido»).</t>
  </si>
  <si>
    <t>Algunos cuantificados.</t>
  </si>
  <si>
    <t>Todos cuantificados.</t>
  </si>
  <si>
    <t>Los requisitos de desempeño y volumen no están cuantificados.</t>
  </si>
  <si>
    <t>D4.08</t>
  </si>
  <si>
    <t>Disponibilidad, escalabilidad y continuidad</t>
  </si>
  <si>
    <t>¿Se definen SLA, alta disponibilidad, escalabilidad, RTO/RPO?</t>
  </si>
  <si>
    <t>Valores de disponibilidad y continuidad.</t>
  </si>
  <si>
    <t>No definidos.</t>
  </si>
  <si>
    <t>Enunciados cualitativos.</t>
  </si>
  <si>
    <t>Parcialmente definidos.</t>
  </si>
  <si>
    <t>Definidos y cuantificados.</t>
  </si>
  <si>
    <t>No se definen disponibilidad ni continuidad (SLA, RTO/RPO).</t>
  </si>
  <si>
    <t>D4.09</t>
  </si>
  <si>
    <t>Dependencias</t>
  </si>
  <si>
    <t>Dependencias identificadas y calificadas</t>
  </si>
  <si>
    <t>¿Se identifican dependencias técnicas, funcionales y organizacionales y se califican (pocas / varias / críticas)?</t>
  </si>
  <si>
    <t>Lista de dependencias con calificación.</t>
  </si>
  <si>
    <t>Mencionadas.</t>
  </si>
  <si>
    <t>Identificadas sin calificar.</t>
  </si>
  <si>
    <t>Identificadas y calificadas.</t>
  </si>
  <si>
    <t>Las dependencias no están identificadas o calificadas.</t>
  </si>
  <si>
    <t>D4.10</t>
  </si>
  <si>
    <t>Cumplimiento</t>
  </si>
  <si>
    <t>Requisitos regulatorios y de cumplimiento</t>
  </si>
  <si>
    <t>¿Se identifican exigencias normativas (protección de datos, normativa sectorial, accesibilidad, retención documental)?</t>
  </si>
  <si>
    <t>Lista de normas y su impacto.</t>
  </si>
  <si>
    <t>Identificados sin impacto.</t>
  </si>
  <si>
    <t>Identificados con impacto en requisitos.</t>
  </si>
  <si>
    <t>No se identifican los requisitos regulatorios aplicables ni su impacto en la solución.</t>
  </si>
  <si>
    <t>D4.11</t>
  </si>
  <si>
    <t>Variabilidad de la solución</t>
  </si>
  <si>
    <t>¿Se define si hay multicanal, multidispositivo, multi-idioma, multi-entidad/multi-tenant o múltiples navegadores?</t>
  </si>
  <si>
    <t>Definición de canales y variantes.</t>
  </si>
  <si>
    <t>No analizada.</t>
  </si>
  <si>
    <t>Supuesta.</t>
  </si>
  <si>
    <t>Parcialmente definida.</t>
  </si>
  <si>
    <t>Definida.</t>
  </si>
  <si>
    <t>No se definen canales, dispositivos o variantes (idioma, multi-entidad).</t>
  </si>
  <si>
    <t>D4.12</t>
  </si>
  <si>
    <t>Consolidación</t>
  </si>
  <si>
    <t>Calificación de complejidad por factores</t>
  </si>
  <si>
    <t>¿Se calificaron los 5 factores (reglas, arquitectura, seguridad, procesamiento, dependencias) de 0 a 2 con justificación y se obtuvo el nivel?</t>
  </si>
  <si>
    <t>Tabla de 5 factores con justificación.</t>
  </si>
  <si>
    <t>Sin calificar.</t>
  </si>
  <si>
    <t>Nivel global asignado por percepción.</t>
  </si>
  <si>
    <t>Factores calificados sin justificación.</t>
  </si>
  <si>
    <t>Factores calificados y justificados; nivel calculado.</t>
  </si>
  <si>
    <t>La complejidad no se calificó factor por factor; calificar los 5 factores del catálogo con justificación.</t>
  </si>
  <si>
    <t>D5.01</t>
  </si>
  <si>
    <t>Inventario de interfaces</t>
  </si>
  <si>
    <t>¿Se tiene la lista completa de interfaces con sistema contraparte, dirección (entrada/salida), propósito y frecuencia?</t>
  </si>
  <si>
    <t>Inventario de interfaces.</t>
  </si>
  <si>
    <t>Sistemas mencionados sin interfaces.</t>
  </si>
  <si>
    <t>Interfaces listadas con datos incompletos.</t>
  </si>
  <si>
    <t>Inventario completo con dirección, propósito y frecuencia.</t>
  </si>
  <si>
    <t>No hay inventario de interfaces; levantar sistema, dirección, propósito y frecuencia de cada una.</t>
  </si>
  <si>
    <t>D5.02</t>
  </si>
  <si>
    <t>Intercambios mapeados a datos y procesos</t>
  </si>
  <si>
    <t>¿Cada interfaz se asocia a los procesos funcionales que la usan y a los grupos de datos que cruzan la frontera (entradas/salidas)?</t>
  </si>
  <si>
    <t>Matriz interfaz × proceso × grupo de datos.</t>
  </si>
  <si>
    <t>No mapeados.</t>
  </si>
  <si>
    <t>Mapeo parcial informal.</t>
  </si>
  <si>
    <t>Mapeados para la mayoría.</t>
  </si>
  <si>
    <t>Mapeados en su totalidad.</t>
  </si>
  <si>
    <t>Las interfaces no están asociadas a procesos ni a los datos intercambiados; el tamaño de la integración queda sin sustento.</t>
  </si>
  <si>
    <t>D5.03</t>
  </si>
  <si>
    <t>Contratos y protocolos</t>
  </si>
  <si>
    <t>Contratos de interfaz</t>
  </si>
  <si>
    <t>¿Están disponibles los contratos (OpenAPI, WSDL, esquemas, estructura de archivos)?</t>
  </si>
  <si>
    <t>Especificaciones técnicas.</t>
  </si>
  <si>
    <t>No disponibles.</t>
  </si>
  <si>
    <t>Disponibles para pocas interfaces.</t>
  </si>
  <si>
    <t>Disponibles para la mayoría.</t>
  </si>
  <si>
    <t>Disponibles y validados para todas.</t>
  </si>
  <si>
    <t>No se cuenta con contratos de interfaz; solicitar especificaciones (OpenAPI, WSDL, esquemas).</t>
  </si>
  <si>
    <t>D5.04</t>
  </si>
  <si>
    <t>Protocolos y tecnologías</t>
  </si>
  <si>
    <t>¿Se definen los protocolos (REST, SOAP, colas, eventos, archivos/SFTP) y se conoce si el equipo los domina?</t>
  </si>
  <si>
    <t>Protocolo por interfaz.</t>
  </si>
  <si>
    <t>Supuestos.</t>
  </si>
  <si>
    <t>Definidos, con alguno no conocido por el equipo.</t>
  </si>
  <si>
    <t>Definidos y conocidos por el equipo.</t>
  </si>
  <si>
    <t>No están definidos los protocolos de integración o hay protocolos desconocidos para el equipo.</t>
  </si>
  <si>
    <t>D5.05</t>
  </si>
  <si>
    <t>Comportamiento y errores</t>
  </si>
  <si>
    <t>Modo de interacción</t>
  </si>
  <si>
    <t>¿Se define sincronía/asincronía, frecuencia y volumen por interfaz?</t>
  </si>
  <si>
    <t>Definición por interfaz.</t>
  </si>
  <si>
    <t>Parcial.</t>
  </si>
  <si>
    <t>Definido con volúmenes.</t>
  </si>
  <si>
    <t>No se definen sincronía, frecuencia ni volumen de las interfaces.</t>
  </si>
  <si>
    <t>D5.06</t>
  </si>
  <si>
    <t>Transformación de datos</t>
  </si>
  <si>
    <t>Transformaciones y mapeos</t>
  </si>
  <si>
    <t>¿Se especifican los mapeos campo a campo, homologaciones y reglas de conversión?</t>
  </si>
  <si>
    <t>Documento de mapeo.</t>
  </si>
  <si>
    <t>No especificados.</t>
  </si>
  <si>
    <t>Parcialmente especificados.</t>
  </si>
  <si>
    <t>Especificados y validados.</t>
  </si>
  <si>
    <t>Las transformaciones y mapeos de datos no están especificados.</t>
  </si>
  <si>
    <t>D5.07</t>
  </si>
  <si>
    <t>Manejo de errores y recuperación</t>
  </si>
  <si>
    <t>¿Se definen reintentos, idempotencia, compensación y conciliación?</t>
  </si>
  <si>
    <t>Estrategia de errores.</t>
  </si>
  <si>
    <t>Mencionado.</t>
  </si>
  <si>
    <t>Definido por interfaz.</t>
  </si>
  <si>
    <t>No está definido el manejo de errores (reintentos, idempotencia, conciliación).</t>
  </si>
  <si>
    <t>D5.08</t>
  </si>
  <si>
    <t>Seguridad de integración</t>
  </si>
  <si>
    <t>Seguridad de las integraciones</t>
  </si>
  <si>
    <t>¿Se define la autenticación y protección de cada integración (OAuth2, certificados, mTLS, VPN, firma de mensajes)?</t>
  </si>
  <si>
    <t>Mecanismo por interfaz.</t>
  </si>
  <si>
    <t>Definido para algunas.</t>
  </si>
  <si>
    <t>Definido para todas.</t>
  </si>
  <si>
    <t>No está definida la seguridad de las integraciones.</t>
  </si>
  <si>
    <t>D5.09</t>
  </si>
  <si>
    <t>Terceros y ambientes</t>
  </si>
  <si>
    <t>Ambientes de prueba de terceros</t>
  </si>
  <si>
    <t>¿Está confirmada la disponibilidad de sandbox o ambientes de prueba y datos de prueba de las contrapartes?</t>
  </si>
  <si>
    <t>Confirmación de ambientes.</t>
  </si>
  <si>
    <t>No confirmados.</t>
  </si>
  <si>
    <t>Solicitados.</t>
  </si>
  <si>
    <t>Confirmados para algunas.</t>
  </si>
  <si>
    <t>Confirmados para todas.</t>
  </si>
  <si>
    <t>No está confirmada la disponibilidad de ambientes de prueba de las contrapartes.</t>
  </si>
  <si>
    <t>D5.10</t>
  </si>
  <si>
    <t>Contrapartes y compromisos</t>
  </si>
  <si>
    <t>¿Se conocen los responsables técnicos de cada contraparte y sus compromisos de respuesta?</t>
  </si>
  <si>
    <t>Lista de contactos y acuerdos.</t>
  </si>
  <si>
    <t>Contacto general.</t>
  </si>
  <si>
    <t>Contactos identificados sin acuerdos.</t>
  </si>
  <si>
    <t>Contactos y acuerdos definidos.</t>
  </si>
  <si>
    <t>No se conocen responsables ni compromisos de las contrapartes.</t>
  </si>
  <si>
    <t>D5.11</t>
  </si>
  <si>
    <t>Criticidad de sistemas integrados</t>
  </si>
  <si>
    <t>¿Se evalúa la criticidad de cada sistema integrado (sistema crítico, SLA, impacto de fallo)?</t>
  </si>
  <si>
    <t>Calificación por sistema.</t>
  </si>
  <si>
    <t>No evaluada.</t>
  </si>
  <si>
    <t>Evaluada para algunos.</t>
  </si>
  <si>
    <t>Evaluada para todos.</t>
  </si>
  <si>
    <t>No se evaluó la criticidad de los sistemas integrados.</t>
  </si>
  <si>
    <t>D5.12</t>
  </si>
  <si>
    <t>Nivel de integración asignado</t>
  </si>
  <si>
    <t>¿Se asignó el nivel I0–I3 con base en la cantidad y dificultad de las interfaces?</t>
  </si>
  <si>
    <t>Nivel con justificación.</t>
  </si>
  <si>
    <t>Asignado por percepción.</t>
  </si>
  <si>
    <t>Asignado por cantidad, sin dificultad.</t>
  </si>
  <si>
    <t>Asignado por cantidad y dificultad.</t>
  </si>
  <si>
    <t>No se asignó el nivel de integración (I0–I3) con cantidad y dificultad.</t>
  </si>
  <si>
    <t>D5.13</t>
  </si>
  <si>
    <t>Estado de las interfaces</t>
  </si>
  <si>
    <t>¿Se sabe si cada interfaz existe, requiere cambios o debe construirla la contraparte?</t>
  </si>
  <si>
    <t>Estado por interfaz.</t>
  </si>
  <si>
    <t>Desconocido.</t>
  </si>
  <si>
    <t>Conocido para algunas.</t>
  </si>
  <si>
    <t>Conocido para todas.</t>
  </si>
  <si>
    <t>No se conoce si las interfaces existen o deben construirlas las contrapartes.</t>
  </si>
  <si>
    <t>D6.01</t>
  </si>
  <si>
    <t>Inventario de activos</t>
  </si>
  <si>
    <t>Activos reutilizables identificados</t>
  </si>
  <si>
    <t>¿Se identifican código, componentes, librerías, plantillas o APIs internas reutilizables?</t>
  </si>
  <si>
    <t>Lista de activos.</t>
  </si>
  <si>
    <t>Identificados sin ubicación/versión.</t>
  </si>
  <si>
    <t>Identificados con ubicación y versión.</t>
  </si>
  <si>
    <t>No se identifican activos reutilizables.</t>
  </si>
  <si>
    <t>D6.02</t>
  </si>
  <si>
    <t>Clasificación del reuso</t>
  </si>
  <si>
    <t>Clasificación por funcionalidad</t>
  </si>
  <si>
    <t>¿Cada funcionalidad se clasifica como nueva, adaptada, reutilizada o autogenerada?</t>
  </si>
  <si>
    <t>Clasificación en el inventario.</t>
  </si>
  <si>
    <t>No clasificada.</t>
  </si>
  <si>
    <t>Estimación global.</t>
  </si>
  <si>
    <t>Clasificación parcial.</t>
  </si>
  <si>
    <t>Clasificación completa.</t>
  </si>
  <si>
    <t>El reuso no está clasificado por funcionalidad; el porcentaje reutilizable es una suposición.</t>
  </si>
  <si>
    <t>D6.03</t>
  </si>
  <si>
    <t>Calidad del activo</t>
  </si>
  <si>
    <t>Estado de los activos</t>
  </si>
  <si>
    <t>¿Se evaluó la calidad, documentación, pruebas, deuda técnica y licencias de los activos a reutilizar?</t>
  </si>
  <si>
    <t>Evaluación de activos.</t>
  </si>
  <si>
    <t>No evaluado.</t>
  </si>
  <si>
    <t>Supuesto por experiencia.</t>
  </si>
  <si>
    <t>Evaluado parcialmente.</t>
  </si>
  <si>
    <t>Evaluado.</t>
  </si>
  <si>
    <t>No se evaluó el estado de los activos a reutilizar; un activo deficiente puede costar más que construirlo.</t>
  </si>
  <si>
    <t>D6.04</t>
  </si>
  <si>
    <t>Esfuerzo de adaptación considerado</t>
  </si>
  <si>
    <t>¿Se estimó el esfuerzo de adaptar, integrar y probar los componentes reutilizados?</t>
  </si>
  <si>
    <t>Esfuerzo de adaptación.</t>
  </si>
  <si>
    <t>No considerado.</t>
  </si>
  <si>
    <t>Estimado por activo.</t>
  </si>
  <si>
    <t>No se consideró el esfuerzo de adaptación del reuso.</t>
  </si>
  <si>
    <t>D6.05</t>
  </si>
  <si>
    <t>Generación automática / low-code</t>
  </si>
  <si>
    <t>¿Se identifica el alcance resuelto por generación de código o plataformas low-code?</t>
  </si>
  <si>
    <t>Alcance autogenerado.</t>
  </si>
  <si>
    <t>No analizado.</t>
  </si>
  <si>
    <t>Identificado parcialmente.</t>
  </si>
  <si>
    <t>Identificado.</t>
  </si>
  <si>
    <t>No se identifica el alcance autogenerado.</t>
  </si>
  <si>
    <t>D6.06</t>
  </si>
  <si>
    <t>Nivel de reutilización asignado</t>
  </si>
  <si>
    <t>¿Se asignó el nivel R1–R4 con evidencia?</t>
  </si>
  <si>
    <t>Nivel con porcentaje y evidencia.</t>
  </si>
  <si>
    <t>Por percepción.</t>
  </si>
  <si>
    <t>Por juicio documentado.</t>
  </si>
  <si>
    <t>Por clasificación del inventario.</t>
  </si>
  <si>
    <t>No se asignó el nivel de reutilización (R1–R4) con evidencia.</t>
  </si>
  <si>
    <t>D6.07</t>
  </si>
  <si>
    <t>Soluciones o patrones previos</t>
  </si>
  <si>
    <t>¿Se identifican proyectos o patrones previos de la organización aplicables?</t>
  </si>
  <si>
    <t>Referencias a proyectos previos.</t>
  </si>
  <si>
    <t>Identificadas.</t>
  </si>
  <si>
    <t>Identificadas con lecciones aprendidas.</t>
  </si>
  <si>
    <t>No se identifican soluciones previas aplicables.</t>
  </si>
  <si>
    <t>D7.01</t>
  </si>
  <si>
    <t>Stack</t>
  </si>
  <si>
    <t>Stack tecnológico definido</t>
  </si>
  <si>
    <t>¿Se definen lenguajes, frameworks y versiones?</t>
  </si>
  <si>
    <t>Stack con versiones.</t>
  </si>
  <si>
    <t>Definido sin versiones.</t>
  </si>
  <si>
    <t>Definido con versiones.</t>
  </si>
  <si>
    <t>El stack tecnológico no está definido.</t>
  </si>
  <si>
    <t>D7.02</t>
  </si>
  <si>
    <t>Plataforma y datos</t>
  </si>
  <si>
    <t>Plataforma de despliegue</t>
  </si>
  <si>
    <t>¿Se define cloud / on-premise / híbrido y el proveedor?</t>
  </si>
  <si>
    <t>Plataforma.</t>
  </si>
  <si>
    <t>Definida sin proveedor.</t>
  </si>
  <si>
    <t>Definida con proveedor y servicios.</t>
  </si>
  <si>
    <t>La plataforma de despliegue no está definida.</t>
  </si>
  <si>
    <t>D7.03</t>
  </si>
  <si>
    <t>Base de datos y almacenamiento</t>
  </si>
  <si>
    <t>¿Se definen motor de base de datos y almacenamiento?</t>
  </si>
  <si>
    <t>Tecnologías de datos.</t>
  </si>
  <si>
    <t>Definido parcialmente.</t>
  </si>
  <si>
    <t>Definido.</t>
  </si>
  <si>
    <t>No se definen la base de datos ni el almacenamiento.</t>
  </si>
  <si>
    <t>D7.04</t>
  </si>
  <si>
    <t>Familiaridad</t>
  </si>
  <si>
    <t>Familiaridad del equipo por tecnología</t>
  </si>
  <si>
    <t>¿Se evaluó la experiencia del equipo en cada tecnología (T1–T4)?</t>
  </si>
  <si>
    <t>Matriz tecnología × experiencia.</t>
  </si>
  <si>
    <t>Global por percepción.</t>
  </si>
  <si>
    <t>Por tecnología sin evidencia.</t>
  </si>
  <si>
    <t>Por tecnología con evidencia.</t>
  </si>
  <si>
    <t>No se evaluó la familiaridad del equipo con cada tecnología.</t>
  </si>
  <si>
    <t>D7.05</t>
  </si>
  <si>
    <t>Herramientas y ambientes</t>
  </si>
  <si>
    <t>Herramientas de desarrollo y CI/CD</t>
  </si>
  <si>
    <t>¿Se definen herramientas de construcción, integración continua, pruebas y versionamiento?</t>
  </si>
  <si>
    <t>Herramientas definidas.</t>
  </si>
  <si>
    <t>No definidas.</t>
  </si>
  <si>
    <t>Supuestas.</t>
  </si>
  <si>
    <t>Parcialmente.</t>
  </si>
  <si>
    <t>Definidas.</t>
  </si>
  <si>
    <t>No se definen las herramientas de desarrollo, CI/CD y pruebas.</t>
  </si>
  <si>
    <t>D7.06</t>
  </si>
  <si>
    <t>Ambientes y aprovisionamiento</t>
  </si>
  <si>
    <t>¿Se definen los ambientes (desarrollo, pruebas, preproducción, producción) y quién los aprovisiona?</t>
  </si>
  <si>
    <t>Ambientes y responsables.</t>
  </si>
  <si>
    <t>Definidos sin responsable.</t>
  </si>
  <si>
    <t>Definidos con responsable y fechas.</t>
  </si>
  <si>
    <t>No están definidos los ambientes ni el responsable de aprovisionarlos.</t>
  </si>
  <si>
    <t>D7.07</t>
  </si>
  <si>
    <t>Restricciones</t>
  </si>
  <si>
    <t>Restricciones tecnológicas del cliente</t>
  </si>
  <si>
    <t>¿Se conocen estándares, arquitectura corporativa y licenciamiento exigidos por el cliente?</t>
  </si>
  <si>
    <t>Lineamientos del cliente.</t>
  </si>
  <si>
    <t>Parcialmente recibidos.</t>
  </si>
  <si>
    <t>Recibidos y analizados.</t>
  </si>
  <si>
    <t>No se conocen las restricciones tecnológicas del cliente.</t>
  </si>
  <si>
    <t>D8.01</t>
  </si>
  <si>
    <t>Definición del problema</t>
  </si>
  <si>
    <t>Objetivo definido</t>
  </si>
  <si>
    <t>¿El objetivo del proyecto está definido y aprobado?</t>
  </si>
  <si>
    <t>Objetivo documentado.</t>
  </si>
  <si>
    <t>Enunciado general.</t>
  </si>
  <si>
    <t>Documentado sin aprobación.</t>
  </si>
  <si>
    <t>Documentado y aprobado.</t>
  </si>
  <si>
    <t>El objetivo del proyecto no está definido o aprobado.</t>
  </si>
  <si>
    <t>D8.02</t>
  </si>
  <si>
    <t>Usuarios y roles identificados</t>
  </si>
  <si>
    <t>¿Se identifican los usuarios y roles?</t>
  </si>
  <si>
    <t>Lista de roles.</t>
  </si>
  <si>
    <t>Genéricos.</t>
  </si>
  <si>
    <t>Todos identificados con permisos.</t>
  </si>
  <si>
    <t>No están identificados los usuarios y roles.</t>
  </si>
  <si>
    <t>D8.03</t>
  </si>
  <si>
    <t>Requisitos funcionales</t>
  </si>
  <si>
    <t>Funcionalidades identificadas</t>
  </si>
  <si>
    <t>¿Las funcionalidades están identificadas?</t>
  </si>
  <si>
    <t>Backlog o lista de requisitos.</t>
  </si>
  <si>
    <t>Módulos/épicas.</t>
  </si>
  <si>
    <t>Mayoría identificadas.</t>
  </si>
  <si>
    <t>Todas identificadas y descritas.</t>
  </si>
  <si>
    <t>Las funcionalidades no están identificadas.</t>
  </si>
  <si>
    <t>D8.04</t>
  </si>
  <si>
    <t>Reglas de negocio conocidas</t>
  </si>
  <si>
    <t>¿Se conocen las reglas de negocio?</t>
  </si>
  <si>
    <t>Reglas documentadas.</t>
  </si>
  <si>
    <t>Solo las principales enunciadas.</t>
  </si>
  <si>
    <t>Principales documentadas, faltan excepciones.</t>
  </si>
  <si>
    <t>Documentadas con excepciones.</t>
  </si>
  <si>
    <t>Las reglas de negocio no se conocen o faltan excepciones.</t>
  </si>
  <si>
    <t>D8.05</t>
  </si>
  <si>
    <t>Datos e integraciones</t>
  </si>
  <si>
    <t>Integraciones conocidas</t>
  </si>
  <si>
    <t>¿Se conocen las integraciones?</t>
  </si>
  <si>
    <t>Lista de integraciones.</t>
  </si>
  <si>
    <t>Identificadas sin detalle.</t>
  </si>
  <si>
    <t>Identificadas con detalle.</t>
  </si>
  <si>
    <t>Las integraciones no se conocen con suficiente detalle.</t>
  </si>
  <si>
    <t>D8.06</t>
  </si>
  <si>
    <t>Datos conocidos</t>
  </si>
  <si>
    <t>¿Se conocen los datos (entidades, fuentes, volúmenes, calidad)?</t>
  </si>
  <si>
    <t>Modelo o inventario de datos.</t>
  </si>
  <si>
    <t>Entidades mencionadas.</t>
  </si>
  <si>
    <t>Entidades principales definidas.</t>
  </si>
  <si>
    <t>Definidos con fuentes y volúmenes.</t>
  </si>
  <si>
    <t>Los datos no se conocen (entidades, fuentes, volumen).</t>
  </si>
  <si>
    <t>D8.07</t>
  </si>
  <si>
    <t>Requisitos no funcionales conocidos</t>
  </si>
  <si>
    <t>¿Se conocen los requisitos no funcionales?</t>
  </si>
  <si>
    <t>RNF documentados.</t>
  </si>
  <si>
    <t>Enunciados genéricos.</t>
  </si>
  <si>
    <t>Principales cuantificados.</t>
  </si>
  <si>
    <t>Los requisitos no funcionales no se conocen o no se cuantifican.</t>
  </si>
  <si>
    <t>D8.08</t>
  </si>
  <si>
    <t>Criterios de aceptación</t>
  </si>
  <si>
    <t>Criterios de aceptación definidos</t>
  </si>
  <si>
    <t>¿Se definieron criterios de aceptación verificables?</t>
  </si>
  <si>
    <t>Criterios por funcionalidad.</t>
  </si>
  <si>
    <t>Generales para el proyecto.</t>
  </si>
  <si>
    <t>Para la mayoría de funcionalidades.</t>
  </si>
  <si>
    <t>Para todas, verificables.</t>
  </si>
  <si>
    <t>No hay criterios de aceptación verificables; sin ellos el alcance de pruebas y la aceptación son inciertos.</t>
  </si>
  <si>
    <t>D8.09</t>
  </si>
  <si>
    <t>Límites y validación</t>
  </si>
  <si>
    <t>Fuera de alcance explícito</t>
  </si>
  <si>
    <t>¿Se declara explícitamente lo que no está incluido?</t>
  </si>
  <si>
    <t>Lista de exclusiones.</t>
  </si>
  <si>
    <t>No declarado.</t>
  </si>
  <si>
    <t>Declarado parcialmente.</t>
  </si>
  <si>
    <t>Declarado y aceptado.</t>
  </si>
  <si>
    <t>No se declara lo que está fuera de alcance.</t>
  </si>
  <si>
    <t>D8.10</t>
  </si>
  <si>
    <t>Supuestos, restricciones y dependencias</t>
  </si>
  <si>
    <t>¿Se documentan supuestos, restricciones y dependencias del alcance?</t>
  </si>
  <si>
    <t>Registro de supuestos.</t>
  </si>
  <si>
    <t>No documentados.</t>
  </si>
  <si>
    <t>Algunos verbales.</t>
  </si>
  <si>
    <t>Documentados parcialmente.</t>
  </si>
  <si>
    <t>Documentados y aceptados.</t>
  </si>
  <si>
    <t>No se documentan supuestos ni restricciones del alcance.</t>
  </si>
  <si>
    <t>D8.11</t>
  </si>
  <si>
    <t>Validación formal del alcance</t>
  </si>
  <si>
    <t>¿El alcance fue validado formalmente por el cliente o sponsor?</t>
  </si>
  <si>
    <t>Acta o aprobación.</t>
  </si>
  <si>
    <t>Sin validar.</t>
  </si>
  <si>
    <t>Revisado en taller sin aprobación.</t>
  </si>
  <si>
    <t>Aprobado formalmente.</t>
  </si>
  <si>
    <t>El alcance no ha sido validado formalmente por el cliente.</t>
  </si>
  <si>
    <t>D9.01</t>
  </si>
  <si>
    <t>Equipo</t>
  </si>
  <si>
    <t>Equipo identificado</t>
  </si>
  <si>
    <t>¿El equipo que ejecutará está identificado?</t>
  </si>
  <si>
    <t>Equipo nominado.</t>
  </si>
  <si>
    <t>Perfiles definidos.</t>
  </si>
  <si>
    <t>Parcialmente asignado.</t>
  </si>
  <si>
    <t>Asignado completo.</t>
  </si>
  <si>
    <t>El equipo no está identificado.</t>
  </si>
  <si>
    <t>D9.02</t>
  </si>
  <si>
    <t>Experiencia en proyectos similares</t>
  </si>
  <si>
    <t>¿El equipo tiene experiencia en proyectos similares (arquetipo, tecnología, dominio)?</t>
  </si>
  <si>
    <t>Historial del equipo.</t>
  </si>
  <si>
    <t>Sin experiencia.</t>
  </si>
  <si>
    <t>Experiencia genérica.</t>
  </si>
  <si>
    <t>1–2 proyectos similares.</t>
  </si>
  <si>
    <t>≥ 3 proyectos similares.</t>
  </si>
  <si>
    <t>El equipo no tiene experiencia demostrada en proyectos similares.</t>
  </si>
  <si>
    <t>D9.03</t>
  </si>
  <si>
    <t>Dedicación</t>
  </si>
  <si>
    <t>¿Se conoce la dedicación de cada integrante?</t>
  </si>
  <si>
    <t>Plan de dedicación.</t>
  </si>
  <si>
    <t>Desconocida.</t>
  </si>
  <si>
    <t>Conocida para el núcleo.</t>
  </si>
  <si>
    <t>Conocida para todos.</t>
  </si>
  <si>
    <t>No se conoce la dedicación del equipo.</t>
  </si>
  <si>
    <t>D9.04</t>
  </si>
  <si>
    <t>Forma de trabajo</t>
  </si>
  <si>
    <t>Metodología de ejecución</t>
  </si>
  <si>
    <t>¿Está definida la metodología (ágil, tradicional, híbrida) y sus ceremonias?</t>
  </si>
  <si>
    <t>Metodología acordada.</t>
  </si>
  <si>
    <t>Definida sin acuerdo con el cliente.</t>
  </si>
  <si>
    <t>Definida y acordada.</t>
  </si>
  <si>
    <t>No está definida la metodología de ejecución.</t>
  </si>
  <si>
    <t>D9.05</t>
  </si>
  <si>
    <t>Disponibilidad del cliente</t>
  </si>
  <si>
    <t>¿Está asegurada la disponibilidad del cliente / product owner para decisiones y validaciones?</t>
  </si>
  <si>
    <t>Compromiso de disponibilidad.</t>
  </si>
  <si>
    <t>Parcial sin compromiso.</t>
  </si>
  <si>
    <t>Comprometida parcialmente.</t>
  </si>
  <si>
    <t>Comprometida.</t>
  </si>
  <si>
    <t>No está asegurada la disponibilidad del cliente para decisiones.</t>
  </si>
  <si>
    <t>D9.06</t>
  </si>
  <si>
    <t>Dependencias externas</t>
  </si>
  <si>
    <t>Proveedores y subcontratistas</t>
  </si>
  <si>
    <t>¿Están identificados y contratados los proveedores o subcontratistas?</t>
  </si>
  <si>
    <t>Contratos o compromisos.</t>
  </si>
  <si>
    <t>Identificados.</t>
  </si>
  <si>
    <t>En contratación.</t>
  </si>
  <si>
    <t>Contratados.</t>
  </si>
  <si>
    <t>Los proveedores o subcontratistas no están identificados o contratados.</t>
  </si>
  <si>
    <t>D9.07</t>
  </si>
  <si>
    <t>Distribución geográfica y horaria</t>
  </si>
  <si>
    <t>¿Se conoce la distribución del equipo y su impacto en la coordinación?</t>
  </si>
  <si>
    <t>Ubicación y husos horarios.</t>
  </si>
  <si>
    <t>Conocida sin plan de coordinación.</t>
  </si>
  <si>
    <t>Conocida con plan.</t>
  </si>
  <si>
    <t>No se conoce la distribución geográfica del equipo.</t>
  </si>
  <si>
    <t>D9.08</t>
  </si>
  <si>
    <t>Dependencias externas de ejecución</t>
  </si>
  <si>
    <t>¿Se conocen dependencias como aprobaciones, compras, accesos y sus tiempos?</t>
  </si>
  <si>
    <t>Lista con tiempos.</t>
  </si>
  <si>
    <t>Identificadas sin tiempos.</t>
  </si>
  <si>
    <t>Identificadas con tiempos.</t>
  </si>
  <si>
    <t>No se conocen las dependencias externas de ejecución ni sus tiempos.</t>
  </si>
  <si>
    <t>D10.01</t>
  </si>
  <si>
    <t>Dominio</t>
  </si>
  <si>
    <t>Sector y dominio identificados</t>
  </si>
  <si>
    <t>¿Se identifica el sector y el dominio funcional?</t>
  </si>
  <si>
    <t>Sector registrado.</t>
  </si>
  <si>
    <t>Genérico.</t>
  </si>
  <si>
    <t>Sector identificado.</t>
  </si>
  <si>
    <t>Sector y dominio identificados.</t>
  </si>
  <si>
    <t>No se identifica el sector del proyecto.</t>
  </si>
  <si>
    <t>D10.02</t>
  </si>
  <si>
    <t>Regulación</t>
  </si>
  <si>
    <t>Regulación sectorial aplicable</t>
  </si>
  <si>
    <t>¿Se identifica la regulación del sector que impacta la solución?</t>
  </si>
  <si>
    <t>Normas y su impacto.</t>
  </si>
  <si>
    <t>Mencionada.</t>
  </si>
  <si>
    <t>Identificada sin impacto.</t>
  </si>
  <si>
    <t>Identificada con impacto.</t>
  </si>
  <si>
    <t>No se identifica la regulación sectorial aplicable.</t>
  </si>
  <si>
    <t>D10.03</t>
  </si>
  <si>
    <t>Contratación y gobierno</t>
  </si>
  <si>
    <t>Modalidad contractual</t>
  </si>
  <si>
    <t>¿Se conoce la modalidad (licitación, precio fijo, tiempo y materiales, bolsa de horas)?</t>
  </si>
  <si>
    <t>Modalidad y condiciones.</t>
  </si>
  <si>
    <t>Conocida sin condiciones.</t>
  </si>
  <si>
    <t>Conocida con condiciones.</t>
  </si>
  <si>
    <t>No se conoce la modalidad contractual.</t>
  </si>
  <si>
    <t>D10.04</t>
  </si>
  <si>
    <t>Stakeholders y aprobaciones</t>
  </si>
  <si>
    <t>¿Se conocen los stakeholders y el ciclo de aprobaciones?</t>
  </si>
  <si>
    <t>Mapa de stakeholders.</t>
  </si>
  <si>
    <t>Identificados sin ciclo.</t>
  </si>
  <si>
    <t>Identificados con ciclo de aprobación.</t>
  </si>
  <si>
    <t>No se conocen los stakeholders ni el ciclo de aprobaciones.</t>
  </si>
  <si>
    <t>D10.05</t>
  </si>
  <si>
    <t>Restricciones de calendario</t>
  </si>
  <si>
    <t>¿Se conocen fechas límite, hitos o ventanas de despliegue?</t>
  </si>
  <si>
    <t>Calendario.</t>
  </si>
  <si>
    <t>Conocidas sin justificación.</t>
  </si>
  <si>
    <t>Conocidas y justificadas.</t>
  </si>
  <si>
    <t>No se conocen las restricciones de calendario.</t>
  </si>
  <si>
    <t>D10.06</t>
  </si>
  <si>
    <t>Requisitos de auditoría y documentación</t>
  </si>
  <si>
    <t>¿Se conocen los entregables documentales y de auditoría exigidos por el sector o cliente?</t>
  </si>
  <si>
    <t>Lista de entregables.</t>
  </si>
  <si>
    <t>Parcialmente conocidos.</t>
  </si>
  <si>
    <t>Conocidos.</t>
  </si>
  <si>
    <t>No se conocen los requisitos documentales y de auditoría del cliente.</t>
  </si>
  <si>
    <t>D11.01</t>
  </si>
  <si>
    <t>Cantidad y similitud</t>
  </si>
  <si>
    <t>Cantidad de comparables</t>
  </si>
  <si>
    <t>¿Cuántos proyectos comparables se tienen?</t>
  </si>
  <si>
    <t>Lista de comparables.</t>
  </si>
  <si>
    <t>0–1.</t>
  </si>
  <si>
    <t>2–3.</t>
  </si>
  <si>
    <t>4–7.</t>
  </si>
  <si>
    <t>≥ 8.</t>
  </si>
  <si>
    <t>Hay pocos o ningún proyecto comparable.</t>
  </si>
  <si>
    <t>D11.02</t>
  </si>
  <si>
    <t>Similitud de los comparables</t>
  </si>
  <si>
    <t>¿Qué tan similares son (arquetipo, tipo de desarrollo, tamaño, tecnología, sector)?</t>
  </si>
  <si>
    <t>Comparación de atributos.</t>
  </si>
  <si>
    <t>No similares.</t>
  </si>
  <si>
    <t>1–2 atributos coinciden.</t>
  </si>
  <si>
    <t>3–4 atributos coinciden.</t>
  </si>
  <si>
    <t>Los 5 atributos coinciden.</t>
  </si>
  <si>
    <t>Los comparables son poco similares.</t>
  </si>
  <si>
    <t>D11.03</t>
  </si>
  <si>
    <t>Calidad del dato</t>
  </si>
  <si>
    <t>Completitud de los datos</t>
  </si>
  <si>
    <t>¿Los comparables tienen esfuerzo real, duración, tamaño y equipo registrados?</t>
  </si>
  <si>
    <t>Datos por comparable.</t>
  </si>
  <si>
    <t>Incompletos.</t>
  </si>
  <si>
    <t>Solo esfuerzo o duración.</t>
  </si>
  <si>
    <t>Esfuerzo y duración, sin tamaño.</t>
  </si>
  <si>
    <t>Completos.</t>
  </si>
  <si>
    <t>Los datos de los comparables están incompletos.</t>
  </si>
  <si>
    <t>D11.04</t>
  </si>
  <si>
    <t>Consistencia del registro</t>
  </si>
  <si>
    <t>¿El registro en la herramienta (p. ej. Jira) es consistente en tiempos, estados y tipos?</t>
  </si>
  <si>
    <t>Revisión del registro.</t>
  </si>
  <si>
    <t>Inconsistente.</t>
  </si>
  <si>
    <t>Con inconsistencias importantes.</t>
  </si>
  <si>
    <t>Con inconsistencias menores.</t>
  </si>
  <si>
    <t>Consistente.</t>
  </si>
  <si>
    <t>El registro histórico es inconsistente.</t>
  </si>
  <si>
    <t>D11.05</t>
  </si>
  <si>
    <t>Explotación del histórico</t>
  </si>
  <si>
    <t>Normalización del tamaño</t>
  </si>
  <si>
    <t>¿Los comparables tienen el tamaño expresado en la misma unidad?</t>
  </si>
  <si>
    <t>Tamaño normalizado.</t>
  </si>
  <si>
    <t>Sin tamaño.</t>
  </si>
  <si>
    <t>Unidades distintas.</t>
  </si>
  <si>
    <t>Normalizado parcialmente.</t>
  </si>
  <si>
    <t>Normalizado.</t>
  </si>
  <si>
    <t>El tamaño de los comparables no está normalizado.</t>
  </si>
  <si>
    <t>D11.06</t>
  </si>
  <si>
    <t>Productividad histórica derivada</t>
  </si>
  <si>
    <t>¿Se calculó la productividad (horas por unidad de tamaño)?</t>
  </si>
  <si>
    <t>Tasa de productividad.</t>
  </si>
  <si>
    <t>No calculada.</t>
  </si>
  <si>
    <t>Estimada para un proyecto.</t>
  </si>
  <si>
    <t>Calculada para algunos.</t>
  </si>
  <si>
    <t>Calculada para todos.</t>
  </si>
  <si>
    <t>No se calculó la productividad histórica.</t>
  </si>
  <si>
    <t>D11.07</t>
  </si>
  <si>
    <t>Vigencia de los comparables</t>
  </si>
  <si>
    <t>¿Los comparables son recientes y con proceso y tecnología vigentes?</t>
  </si>
  <si>
    <t>Fechas y contexto.</t>
  </si>
  <si>
    <t>Obsoletos.</t>
  </si>
  <si>
    <t>&gt; 5 años.</t>
  </si>
  <si>
    <t>2–5 años.</t>
  </si>
  <si>
    <t>&lt; 2 años y vigentes.</t>
  </si>
  <si>
    <t>Los comparables no son vigentes.</t>
  </si>
  <si>
    <t>Parámetros del modelo de madurez para estimación</t>
  </si>
  <si>
    <t>Los valores en azul con fondo amarillo son editables; todas las hojas se recalculan a partir de ellos.</t>
  </si>
  <si>
    <t>Pesos por dimensión</t>
  </si>
  <si>
    <t>Arquetipos</t>
  </si>
  <si>
    <t>Tipos de desarrollo</t>
  </si>
  <si>
    <t>Sector</t>
  </si>
  <si>
    <t>Sí / No</t>
  </si>
  <si>
    <t>Justificación del peso</t>
  </si>
  <si>
    <t>Aplicaciones y soluciones digitales</t>
  </si>
  <si>
    <t>Nuevo desarrollo</t>
  </si>
  <si>
    <t>T1 - Conocida</t>
  </si>
  <si>
    <t>Estable</t>
  </si>
  <si>
    <t>Gobierno</t>
  </si>
  <si>
    <t>Define si el tamaño se mide como producto completo o como cambio; condiciona la selección de comparables.</t>
  </si>
  <si>
    <t>Integración e interoperabilidad</t>
  </si>
  <si>
    <t>Enhancement / evolutivo</t>
  </si>
  <si>
    <t>T2 - Parcialmente conocida</t>
  </si>
  <si>
    <t>Parcialmente conocido</t>
  </si>
  <si>
    <t>Financiero</t>
  </si>
  <si>
    <t>Determina drivers de esfuerzo y el grupo histórico de referencia.</t>
  </si>
  <si>
    <t>Datos, analítica e inteligencia artificial</t>
  </si>
  <si>
    <t>Modernización / redevelopment</t>
  </si>
  <si>
    <t>T3 - Nueva</t>
  </si>
  <si>
    <t>Incierto</t>
  </si>
  <si>
    <t>Salud</t>
  </si>
  <si>
    <t>Principal variable explicativa del esfuerzo; por eso recibe el mayor peso.</t>
  </si>
  <si>
    <t>Plataforma, infraestructura y DevOps</t>
  </si>
  <si>
    <t>Mantenimiento</t>
  </si>
  <si>
    <t>T4 - Experimental</t>
  </si>
  <si>
    <t>Comercio</t>
  </si>
  <si>
    <t>Ajusta la productividad sobre el tamaño; captura lo que el tamaño funcional no mide (reglas, algoritmos, RNF).</t>
  </si>
  <si>
    <t>Seguridad, identidad y confianza digital</t>
  </si>
  <si>
    <t>Telecomunicaciones</t>
  </si>
  <si>
    <t>Las interfaces concentran incertidumbre y dependencias con terceros.</t>
  </si>
  <si>
    <t>Modernización y migración</t>
  </si>
  <si>
    <t>Otros</t>
  </si>
  <si>
    <t>Modula el esfuerzo (reuso vs. construcción).</t>
  </si>
  <si>
    <t>Afecta la productividad por curva de aprendizaje.</t>
  </si>
  <si>
    <t>Visión transversal del estado de la documentación; mayor peso entre complementarias.</t>
  </si>
  <si>
    <t>Afecta la capacidad y la productividad de ejecución.</t>
  </si>
  <si>
    <t>Restricciones externas; bajo impacto directo en tamaño.</t>
  </si>
  <si>
    <t>Condiciona la técnica de estimación y la confianza en la conversión tamaño → esfuerzo.</t>
  </si>
  <si>
    <t>Peso núcleo</t>
  </si>
  <si>
    <t>Escala de calificación de criterios</t>
  </si>
  <si>
    <t>Puntaje</t>
  </si>
  <si>
    <t>Significado</t>
  </si>
  <si>
    <t>Descripción</t>
  </si>
  <si>
    <t>Sin información</t>
  </si>
  <si>
    <t>No existe información o evidencia sobre el criterio.</t>
  </si>
  <si>
    <t>Parcial / supuesto</t>
  </si>
  <si>
    <t>Información mencionada, verbal o supuesta; sin documento o sin cuantificar.</t>
  </si>
  <si>
    <t>Definido con vacíos</t>
  </si>
  <si>
    <t>Información documentada pero incompleta o sin validar.</t>
  </si>
  <si>
    <t>Completo y validado</t>
  </si>
  <si>
    <t>Información completa, cuantificada, documentada y validada por el responsable.</t>
  </si>
  <si>
    <t>N/A</t>
  </si>
  <si>
    <t>No aplica</t>
  </si>
  <si>
    <t>Solo en criterios marcados como «Admite N/A». Se excluye del máximo posible.</t>
  </si>
  <si>
    <t>Niveles de madurez (dimensión y general)</t>
  </si>
  <si>
    <t>Límite inferior</t>
  </si>
  <si>
    <t>Nivel</t>
  </si>
  <si>
    <t>N°</t>
  </si>
  <si>
    <t>Interpretación</t>
  </si>
  <si>
    <t>Técnica de estimación sugerida</t>
  </si>
  <si>
    <t>N1 - Incipiente</t>
  </si>
  <si>
    <t>Información insuficiente; la estimación sería una conjetura.</t>
  </si>
  <si>
    <t>Juicio experto / Delphi con rango amplio; priorizar levantamiento de información antes de comprometer una cifra.</t>
  </si>
  <si>
    <t>N2 - Preliminar</t>
  </si>
  <si>
    <t>Visión general con vacíos críticos.</t>
  </si>
  <si>
    <t>Juicio experto + analogía; estimación de orden de magnitud.</t>
  </si>
  <si>
    <t>N3 - Intermedio</t>
  </si>
  <si>
    <t>Alcance principal conocido; faltan detalles relevantes.</t>
  </si>
  <si>
    <t>Analogía con histórico + descomposición (WBS); estimación preliminar.</t>
  </si>
  <si>
    <t>N4 - Definido</t>
  </si>
  <si>
    <t>Alcance definido y mayormente cuantificado.</t>
  </si>
  <si>
    <t>Tamaño funcional + productividad histórica, contrastado con descomposición.</t>
  </si>
  <si>
    <t>N5 - Validado</t>
  </si>
  <si>
    <t>Información completa, cuantificada y validada.</t>
  </si>
  <si>
    <t>Tamaño funcional + modelo paramétrico calibrado; desempeño empírico si el equipo es conocido.</t>
  </si>
  <si>
    <t>Regla de tope por dimensiones núcleo</t>
  </si>
  <si>
    <t>Umbral mínimo de madurez núcleo</t>
  </si>
  <si>
    <t>Si alguna dimensión núcleo queda por debajo de este umbral…</t>
  </si>
  <si>
    <t>Nivel general máximo permitido</t>
  </si>
  <si>
    <t>…la madurez general no puede superar este nivel (evita que las complementarias compensen vacíos críticos).</t>
  </si>
  <si>
    <t>Clases de tamaño (por N° de procesos funcionales)</t>
  </si>
  <si>
    <t>Mínimo de procesos</t>
  </si>
  <si>
    <t>Clase</t>
  </si>
  <si>
    <t>Rango del catálogo</t>
  </si>
  <si>
    <t>XS</t>
  </si>
  <si>
    <t>1–5</t>
  </si>
  <si>
    <t>S</t>
  </si>
  <si>
    <t>6–15</t>
  </si>
  <si>
    <t>M</t>
  </si>
  <si>
    <t>16–30</t>
  </si>
  <si>
    <t>L</t>
  </si>
  <si>
    <t>31–60</t>
  </si>
  <si>
    <t>XL</t>
  </si>
  <si>
    <t>&gt;60</t>
  </si>
  <si>
    <t>Tamaño de referencia</t>
  </si>
  <si>
    <t>Puntos de función promedio por proceso funcional</t>
  </si>
  <si>
    <t>Supuesto inicial para la aproximación temprana del tamaño (N° procesos × promedio). Debe calibrarse con el histórico de la organización.</t>
  </si>
  <si>
    <t>Nivel de complejidad (suma de 5 factores, 0–10)</t>
  </si>
  <si>
    <t>Puntaje mínimo</t>
  </si>
  <si>
    <t>Baja</t>
  </si>
  <si>
    <t>Media</t>
  </si>
  <si>
    <t>Alta</t>
  </si>
  <si>
    <t>Muy alta</t>
  </si>
  <si>
    <t>Ficha de evaluación de madurez para estimación</t>
  </si>
  <si>
    <t>Ingresar datos solo en celdas amarillas (texto azul). Puntajes de criterios: 0, 1, 2, 3 o N/A (solo si la rúbrica lo admite). Criterios núcleo sin calificar cuentan como 0. Una dimensión complementaria sin ningún criterio calificado se excluye del cálculo.</t>
  </si>
  <si>
    <t>Proyecto</t>
  </si>
  <si>
    <t>Cliente / área</t>
  </si>
  <si>
    <t>Evaluador(es)</t>
  </si>
  <si>
    <t>Fecha de evaluación</t>
  </si>
  <si>
    <t>Momento de estimación</t>
  </si>
  <si>
    <t>Fuentes revisadas</t>
  </si>
  <si>
    <t>Versión de la ficha</t>
  </si>
  <si>
    <t>PARTE A · CARACTERIZACIÓN DEL PROYECTO (valores de clasificación del catálogo)</t>
  </si>
  <si>
    <t>Variable</t>
  </si>
  <si>
    <t>Valor (ingresar)</t>
  </si>
  <si>
    <t>Clasificación resultante</t>
  </si>
  <si>
    <t>Regla aplicada</t>
  </si>
  <si>
    <t>D1 · Tipo de desarrollo</t>
  </si>
  <si>
    <t>% del alcance: nuevo desarrollo</t>
  </si>
  <si>
    <t>Componente predominante (mayor %). Los cuatro porcentajes deben sumar 100%.</t>
  </si>
  <si>
    <t>% del alcance: enhancement / evolutivo</t>
  </si>
  <si>
    <t>% del alcance: modernización / redevelopment</t>
  </si>
  <si>
    <t>% del alcance: mantenimiento (correctivo / menor)</t>
  </si>
  <si>
    <t>D2 · Tipo de solución / arquetipo</t>
  </si>
  <si>
    <t>Arquetipo principal</t>
  </si>
  <si>
    <t>Principal = trabajo que explica la mayor proporción del esfuerzo esperado, no el componente más visible.</t>
  </si>
  <si>
    <t>Arquetipos secundarios (texto)</t>
  </si>
  <si>
    <t>% del esfuerzo del arquetipo principal</t>
  </si>
  <si>
    <t>D3 · Tamaño funcional</t>
  </si>
  <si>
    <t>N° de procesos funcionales identificados</t>
  </si>
  <si>
    <t>XS 1–5 · S 6–15 · M 16–30 · L 31–60 · XL &gt;60 procesos. Aproximación = procesos × promedio.</t>
  </si>
  <si>
    <t>Puntos de función promedio por proceso (vacío = referencia)</t>
  </si>
  <si>
    <t>Tamaño medido en puntos de función (si existe)</t>
  </si>
  <si>
    <t>D4 · Complejidad</t>
  </si>
  <si>
    <t>Factor reglas de negocio (0 simples · 1 moderadas · 2 complejas)</t>
  </si>
  <si>
    <t>Suma 0–10: 0–2 Baja · 3–5 Media · 6–8 Alta · 9–10 Muy alta.</t>
  </si>
  <si>
    <t>Factor arquitectura (0 conocida · 1 algunas novedades · 2 nueva/sofisticada)</t>
  </si>
  <si>
    <t>Factor seguridad (0 estándar · 1 elevada · 2 crítica)</t>
  </si>
  <si>
    <t>Factor procesamiento (0 simple · 1 medio · 2 complejo/tiempo real)</t>
  </si>
  <si>
    <t>Factor dependencias (0 pocas · 1 varias · 2 muchas/críticas)</t>
  </si>
  <si>
    <t>D5 · Integración</t>
  </si>
  <si>
    <t>N° de interfaces</t>
  </si>
  <si>
    <t>I0 sin interfaces · I1 1–2 simples · I2 3–5 o alguna compleja · I3 &gt;5, críticos, protocolos no conocidos o múltiples terceros.</t>
  </si>
  <si>
    <t>¿Alguna interfaz compleja?</t>
  </si>
  <si>
    <t>¿Sistemas críticos, protocolos no conocidos o múltiples terceros?</t>
  </si>
  <si>
    <t>D6 · Reutilización</t>
  </si>
  <si>
    <t>% del alcance reutilizable</t>
  </si>
  <si>
    <t>R1 &gt;70% · R2 40–70% · R3 10–40% · R4 &lt;10%.</t>
  </si>
  <si>
    <t>D7 · Entorno tecnológico</t>
  </si>
  <si>
    <t>Familiaridad tecnológica del equipo</t>
  </si>
  <si>
    <t>T1 Conocida · T2 Parcialmente conocida · T3 Nueva · T4 Experimental.</t>
  </si>
  <si>
    <t>D8 · Madurez del alcance</t>
  </si>
  <si>
    <t>Elementos del checklist con puntaje ≥ 2 (cálculo automático, D8.01–D8.08)</t>
  </si>
  <si>
    <t>M1 0–2 · M2 3–4 · M3 5–6 · M4 7–8 elementos.</t>
  </si>
  <si>
    <t>D9 · Contexto de ejecución</t>
  </si>
  <si>
    <t>Condición del contexto de ejecución</t>
  </si>
  <si>
    <t>D10 · Sector</t>
  </si>
  <si>
    <t>Sector del cliente</t>
  </si>
  <si>
    <t>D11 · Evidencia histórica</t>
  </si>
  <si>
    <t>N° de proyectos comparables</t>
  </si>
  <si>
    <t>RESUMEN DE MADUREZ (cálculo automático)</t>
  </si>
  <si>
    <t>Principal brecha identificada</t>
  </si>
  <si>
    <t>Madurez</t>
  </si>
  <si>
    <t>Aporte a la madurez general</t>
  </si>
  <si>
    <t>¿Incluida en el cálculo?</t>
  </si>
  <si>
    <t>D5 · Integración / interdependencia</t>
  </si>
  <si>
    <t>D6 · Novedad y reutilización</t>
  </si>
  <si>
    <t>D10 · Sector / contexto de negocio</t>
  </si>
  <si>
    <t>D11 · Evidencia histórica disponible</t>
  </si>
  <si>
    <t>Madurez general ponderada</t>
  </si>
  <si>
    <t>Nivel según puntaje (antes de la regla de tope)</t>
  </si>
  <si>
    <t>Menor madurez entre dimensiones núcleo</t>
  </si>
  <si>
    <t>NIVEL DE MADUREZ GENERAL (final)</t>
  </si>
  <si>
    <t>VALIDACIONES DE CONSISTENCIA (cruce entre caracterización y criterios)</t>
  </si>
  <si>
    <t>Regla de consistencia</t>
  </si>
  <si>
    <t>Estado</t>
  </si>
  <si>
    <t>Acción sugerida si hay inconsistencia</t>
  </si>
  <si>
    <t>V1</t>
  </si>
  <si>
    <t>Los porcentajes de composición del tipo de desarrollo suman 100%.</t>
  </si>
  <si>
    <t>V2</t>
  </si>
  <si>
    <t>Si hay componente evolutivo, de modernización o mantenimiento, existe línea base del activo (D1.03).</t>
  </si>
  <si>
    <t>V3</t>
  </si>
  <si>
    <t>El arquetipo Modernización no convive con un tipo de desarrollo predominantemente nuevo.</t>
  </si>
  <si>
    <t>V4</t>
  </si>
  <si>
    <t>El arquetipo principal Integración tiene al menos 3 interfaces.</t>
  </si>
  <si>
    <t>V5</t>
  </si>
  <si>
    <t>Si se declara Integración (principal o secundario) se registra el N° de interfaces.</t>
  </si>
  <si>
    <t>V6</t>
  </si>
  <si>
    <t>Las interfaces declaradas cuentan con inventario (D5.01 ≥ 2).</t>
  </si>
  <si>
    <t>V7</t>
  </si>
  <si>
    <t>El N° de procesos funcionales está respaldado por inventario (D3.05 ≥ 2).</t>
  </si>
  <si>
    <t>V8</t>
  </si>
  <si>
    <t>Si el inventario de procesos está calificado (D3.05 ≥ 2) se registra la cantidad.</t>
  </si>
  <si>
    <t>V9</t>
  </si>
  <si>
    <t>Seguridad calificada como crítica (factor = 2) tiene requisitos especificados (D4.06 ≥ 2).</t>
  </si>
  <si>
    <t>V10</t>
  </si>
  <si>
    <t>Reglas calificadas como complejas (factor = 2) están caracterizadas (D4.02 ≥ 2).</t>
  </si>
  <si>
    <t>V11</t>
  </si>
  <si>
    <t>Reutilización alta (&gt; 70%) respaldada por la evaluación de los activos (D6.03 ≥ 2).</t>
  </si>
  <si>
    <t>V12</t>
  </si>
  <si>
    <t>Tecnología T1 respaldada por la evaluación de familiaridad (D7.04 ≥ 2).</t>
  </si>
  <si>
    <t>V13</t>
  </si>
  <si>
    <t>Con 4 o más comparables, sus datos están completos (D11.03 ≥ 2).</t>
  </si>
  <si>
    <t>V14</t>
  </si>
  <si>
    <t>Un alcance M3/M4 es coherente con una madurez de tamaño ≥ umbral núcleo.</t>
  </si>
  <si>
    <t>V15</t>
  </si>
  <si>
    <t>Integración I3 con ambientes de prueba de terceros confirmados (D5.09 ≥ 2).</t>
  </si>
  <si>
    <t>PARTE B · EVALUACIÓN DE MADUREZ POR CRITERIO</t>
  </si>
  <si>
    <t>Dim.</t>
  </si>
  <si>
    <t>Criterio y pregunta de evaluación</t>
  </si>
  <si>
    <t>Puntaje (0–3 / N/A)</t>
  </si>
  <si>
    <t>Evidencia / observaciones del evaluador</t>
  </si>
  <si>
    <t>Obtenido</t>
  </si>
  <si>
    <t>Máximo</t>
  </si>
  <si>
    <t>Hallazgo o comentario sugerido</t>
  </si>
  <si>
    <t>Índice de prioridad</t>
  </si>
  <si>
    <t>Composición del alcance cuantificada: ¿Se conoce qué porcentaje del alcance corresponde a crear, modificar, reemplazar/transformar o corregir software?</t>
  </si>
  <si>
    <t>Tipo de desarrollo asignado y justificado: ¿El tipo de desarrollo (Nuevo, Enhancement/evolutivo, Modernización/redevelopment, Mantenimiento) está asignado según el componente predominante?</t>
  </si>
  <si>
    <t>Línea base funcional del sistema existente: ¿Existe inventario de las funcionalidades actuales del sistema que se modifica, reemplaza o mantiene? (Admite N/A)</t>
  </si>
  <si>
    <t>Funcionalidades nuevas identificadas: ¿Se listan las funcionalidades que se agregan, desagregadas al nivel de proceso funcional? (Admite N/A)</t>
  </si>
  <si>
    <t>Funcionalidades modificadas y naturaleza del cambio: Para cada funcionalidad existente que cambia, ¿se identifica qué datos que entran, salen, se consultan o se almacenan se agregan, modifican o eliminan? (Admite N/A)</t>
  </si>
  <si>
    <t>Funcionalidades retiradas: ¿Se identifican funcionalidades, interfaces o datos que se eliminan o dan de baja (o se declara explícitamente que no existen)? (Admite N/A)</t>
  </si>
  <si>
    <t>Frontera del software definida: ¿Está claro qué software se construye o modifica (dentro del alcance) y qué sistemas, usuarios o componentes quedan fuera?</t>
  </si>
  <si>
    <t>Capas y componentes afectados: ¿Se identifican las capas (presentación, negocio, servicios, datos) y los componentes que se crean o modifican?</t>
  </si>
  <si>
    <t>Documentación técnica y código del activo: ¿Están disponibles y actualizados el código fuente, la documentación técnica y los ambientes del sistema existente? (Admite N/A)</t>
  </si>
  <si>
    <t>Alcance de regresión: ¿Se conocen las funcionalidades existentes que deben volver a probarse por efecto de los cambios? (Admite N/A)</t>
  </si>
  <si>
    <t>Equivalencia funcional en modernización: Cuando se transforma un activo, ¿se define qué comportamiento debe preservarse y cómo se verificará la equivalencia? (Admite N/A)</t>
  </si>
  <si>
    <t>Separación correctivo vs. evolutivo: ¿Se distinguen las correcciones de defectos de los cambios y nuevas funcionalidades?</t>
  </si>
  <si>
    <t>Objeto tecnológico predominante: ¿Se identifica qué concentra el trabajo: funcionalidades y reglas, intercambio entre sistemas, datos/modelos, capacidades compartidas, controles/identidad o transformación de un activo existente?</t>
  </si>
  <si>
    <t>Arquetipo principal según esfuerzo: ¿El arquetipo principal corresponde al trabajo que explica la mayor proporción del esfuerzo esperado, y no al componente más visible?</t>
  </si>
  <si>
    <t>Distribución del alcance por arquetipo: ¿Se estima qué porcentaje del alcance o esfuerzo corresponde a cada arquetipo?</t>
  </si>
  <si>
    <t>Arquetipos secundarios: ¿Se registran los arquetipos secundarios cuando una parte significativa (≈ ≥15%) del alcance pertenece a otras categorías?</t>
  </si>
  <si>
    <t>Independencia del nombre comercial: ¿La clasificación se contrastó contra el contenido real del alcance y no depende del nombre del proyecto?</t>
  </si>
  <si>
    <t>Drivers del arquetipo principal: ¿Se identifican y cuantifican los drivers típicos del arquetipo principal (p. ej. Aplicaciones: funcionalidades, reglas, roles, pantallas, flujos; Integración: interfaces, protocolos, transformaciones; Datos/IA: fuentes, volumen, calidad, modelos; Plataforma: ambientes, componentes, SLA; Seguridad: identidades, controles, certificados; Modernización: tamaño del activo, deuda técnica, datos a migrar)?</t>
  </si>
  <si>
    <t>Drivers de arquetipos secundarios: ¿Se identifican y cuantifican los drivers de los arquetipos secundarios? (Admite N/A)</t>
  </si>
  <si>
    <t>Tipo de usuario funcional predominante: ¿Se identifica quién intercambia datos con la solución (personas por rol, otros sistemas, dispositivos) y es coherente con el arquetipo (p. ej. en Integración predominan sistemas)?</t>
  </si>
  <si>
    <t>Componentes de terceros / SaaS: ¿Se identifican productos de terceros, paquetes o SaaS y se distingue configuración de desarrollo a medida? (Admite N/A)</t>
  </si>
  <si>
    <t>Entregables no software separados: ¿Se separan del alcance de software los entregables que no son funcionalidad (licencias, infraestructura, capacitación, migración manual, soporte, documentación)?</t>
  </si>
  <si>
    <t>Resolución de solapamientos: Cuando el trabajo cae entre categorías (IA vs. Datos, DevOps vs. Plataforma, SaaS personalizado vs. Aplicación, middleware vs. Integración), ¿se aplicó la regla de consolidación del catálogo? (Admite N/A)</t>
  </si>
  <si>
    <t>Clasificación validada: ¿La clasificación fue revisada por al menos dos roles (p. ej. arquitecto y estimador) y registrada?</t>
  </si>
  <si>
    <t>Propósito y alcance de la medición: ¿Está definido para qué se mide (cotización/estimación), qué piezas de software y capas se incluyen y qué se excluye?</t>
  </si>
  <si>
    <t>Nivel de granularidad homogéneo: ¿Los requisitos tienen un nivel de detalle homogéneo que permite identificar procesos funcionales (sin mezclar épicas con tareas técnicas)?</t>
  </si>
  <si>
    <t>Usuarios funcionales identificados: ¿Se identifican los emisores y receptores de datos (personas por rol, sistemas, dispositivos) de cada pieza de software?</t>
  </si>
  <si>
    <t>Eventos desencadenantes: ¿Se identifica para cada funcionalidad el evento que la inicia (acción de usuario, mensaje de otro sistema, evento de tiempo)?</t>
  </si>
  <si>
    <t>Inventario de procesos funcionales: ¿Existe un inventario completo de procesos funcionales (conjunto de movimientos de datos que responde a un evento desencadenante) con ID?</t>
  </si>
  <si>
    <t>Objetos de interés y grupos de datos: ¿Se identifican los objetos de negocio sobre los que se maneja información y sus grupos de datos (modelo conceptual)?</t>
  </si>
  <si>
    <t>Movimientos de datos por proceso: ¿Para cada proceso funcional se identifican Entradas, Salidas, Lecturas y Escrituras de grupos de datos?</t>
  </si>
  <si>
    <t>Unidad objetiva y clase de tamaño: ¿El tamaño se expresa en una unidad objetiva (puntos de función o unidad interna calibrada) con clase XS–XL?</t>
  </si>
  <si>
    <t>Tamaño del cambio en evolutivos: En evolutivos o mantenimiento, ¿se cuantifican por separado los movimientos de datos agregados, modificados y eliminados? (Admite N/A)</t>
  </si>
  <si>
    <t>RNF que se convierten en funcionalidad: ¿Se identificaron requisitos aparentemente no funcionales que generan funcionalidad (auditoría/bitácora, notificaciones, gestión de usuarios y permisos, parametrización, exportaciones) y se incluyeron en el tamaño?</t>
  </si>
  <si>
    <t>Funcionalidad de administración y soporte: ¿Se incluyen procesos de mantenimiento de maestros, parámetros, catálogos y consultas de soporte?</t>
  </si>
  <si>
    <t>Reportes, consultas y mensajes: ¿Se identifican reportes, consultas, exportaciones y mensajes al usuario asociados a los procesos?</t>
  </si>
  <si>
    <t>Trazabilidad requisito – medición: ¿Existe trazabilidad entre cada requisito, el proceso funcional que lo implementa y su tamaño?</t>
  </si>
  <si>
    <t>Revisión de la medición: ¿La medición fue revisada por un segundo medidor o contrastada con el histórico y se documentó la variación?</t>
  </si>
  <si>
    <t>Inventario de reglas de negocio: ¿Las reglas de negocio están identificadas con ID y asociadas a las funcionalidades?</t>
  </si>
  <si>
    <t>Caracterización de reglas: ¿Se conocen condiciones, excepciones, cálculos y fuentes normativas de las reglas para calificarlas como simples, moderadas o complejas?</t>
  </si>
  <si>
    <t>Manipulación de datos y algoritmos: ¿Se identifican cálculos, algoritmos, motores de reglas o validaciones complejas? (su dificultad no se refleja en el tamaño funcional y debe capturarse aquí)</t>
  </si>
  <si>
    <t>Tipo de procesamiento: ¿Se define si el procesamiento es en línea, por lotes, asíncrono o en tiempo real, y su exigencia?</t>
  </si>
  <si>
    <t>Arquitectura objetivo y novedad: ¿La arquitectura está definida (estilo, componentes, patrones) y se califica su novedad (conocida / algunas novedades / nueva o sofisticada)?</t>
  </si>
  <si>
    <t>Requisitos de seguridad clasificados: ¿Se conocen los requisitos de autenticación, autorización, cifrado, firma, PKI y auditoría, y su nivel (estándar / elevada / crítica)?</t>
  </si>
  <si>
    <t>Desempeño y volumen cuantificados: ¿Se cuantifican usuarios concurrentes, transacciones, tiempos de respuesta y volumen de datos?</t>
  </si>
  <si>
    <t>Disponibilidad, escalabilidad y continuidad: ¿Se definen SLA, alta disponibilidad, escalabilidad, RTO/RPO?</t>
  </si>
  <si>
    <t>Dependencias identificadas y calificadas: ¿Se identifican dependencias técnicas, funcionales y organizacionales y se califican (pocas / varias / críticas)?</t>
  </si>
  <si>
    <t>Requisitos regulatorios y de cumplimiento: ¿Se identifican exigencias normativas (protección de datos, normativa sectorial, accesibilidad, retención documental)?</t>
  </si>
  <si>
    <t>Variabilidad de la solución: ¿Se define si hay multicanal, multidispositivo, multi-idioma, multi-entidad/multi-tenant o múltiples navegadores?</t>
  </si>
  <si>
    <t>Calificación de complejidad por factores: ¿Se calificaron los 5 factores (reglas, arquitectura, seguridad, procesamiento, dependencias) de 0 a 2 con justificación y se obtuvo el nivel?</t>
  </si>
  <si>
    <t>Inventario de interfaces: ¿Se tiene la lista completa de interfaces con sistema contraparte, dirección (entrada/salida), propósito y frecuencia? (Admite N/A)</t>
  </si>
  <si>
    <t>Intercambios mapeados a datos y procesos: ¿Cada interfaz se asocia a los procesos funcionales que la usan y a los grupos de datos que cruzan la frontera (entradas/salidas)? (Admite N/A)</t>
  </si>
  <si>
    <t>Contratos de interfaz: ¿Están disponibles los contratos (OpenAPI, WSDL, esquemas, estructura de archivos)? (Admite N/A)</t>
  </si>
  <si>
    <t>Protocolos y tecnologías: ¿Se definen los protocolos (REST, SOAP, colas, eventos, archivos/SFTP) y se conoce si el equipo los domina? (Admite N/A)</t>
  </si>
  <si>
    <t>Modo de interacción: ¿Se define sincronía/asincronía, frecuencia y volumen por interfaz? (Admite N/A)</t>
  </si>
  <si>
    <t>Transformaciones y mapeos: ¿Se especifican los mapeos campo a campo, homologaciones y reglas de conversión? (Admite N/A)</t>
  </si>
  <si>
    <t>Manejo de errores y recuperación: ¿Se definen reintentos, idempotencia, compensación y conciliación? (Admite N/A)</t>
  </si>
  <si>
    <t>Seguridad de las integraciones: ¿Se define la autenticación y protección de cada integración (OAuth2, certificados, mTLS, VPN, firma de mensajes)? (Admite N/A)</t>
  </si>
  <si>
    <t>Ambientes de prueba de terceros: ¿Está confirmada la disponibilidad de sandbox o ambientes de prueba y datos de prueba de las contrapartes? (Admite N/A)</t>
  </si>
  <si>
    <t>Contrapartes y compromisos: ¿Se conocen los responsables técnicos de cada contraparte y sus compromisos de respuesta? (Admite N/A)</t>
  </si>
  <si>
    <t>Criticidad de sistemas integrados: ¿Se evalúa la criticidad de cada sistema integrado (sistema crítico, SLA, impacto de fallo)? (Admite N/A)</t>
  </si>
  <si>
    <t>Nivel de integración asignado: ¿Se asignó el nivel I0–I3 con base en la cantidad y dificultad de las interfaces?</t>
  </si>
  <si>
    <t>Estado de las interfaces: ¿Se sabe si cada interfaz existe, requiere cambios o debe construirla la contraparte? (Admite N/A)</t>
  </si>
  <si>
    <t>Activos reutilizables identificados: ¿Se identifican código, componentes, librerías, plantillas o APIs internas reutilizables?</t>
  </si>
  <si>
    <t>Clasificación por funcionalidad: ¿Cada funcionalidad se clasifica como nueva, adaptada, reutilizada o autogenerada?</t>
  </si>
  <si>
    <t>Estado de los activos: ¿Se evaluó la calidad, documentación, pruebas, deuda técnica y licencias de los activos a reutilizar? (Admite N/A)</t>
  </si>
  <si>
    <t>Esfuerzo de adaptación considerado: ¿Se estimó el esfuerzo de adaptar, integrar y probar los componentes reutilizados? (Admite N/A)</t>
  </si>
  <si>
    <t>Generación automática / low-code: ¿Se identifica el alcance resuelto por generación de código o plataformas low-code? (Admite N/A)</t>
  </si>
  <si>
    <t>Nivel de reutilización asignado: ¿Se asignó el nivel R1–R4 con evidencia?</t>
  </si>
  <si>
    <t>Soluciones o patrones previos: ¿Se identifican proyectos o patrones previos de la organización aplicables?</t>
  </si>
  <si>
    <t>Stack tecnológico definido: ¿Se definen lenguajes, frameworks y versiones?</t>
  </si>
  <si>
    <t>Plataforma de despliegue: ¿Se define cloud / on-premise / híbrido y el proveedor?</t>
  </si>
  <si>
    <t>Base de datos y almacenamiento: ¿Se definen motor de base de datos y almacenamiento?</t>
  </si>
  <si>
    <t>Familiaridad del equipo por tecnología: ¿Se evaluó la experiencia del equipo en cada tecnología (T1–T4)?</t>
  </si>
  <si>
    <t>Herramientas de desarrollo y CI/CD: ¿Se definen herramientas de construcción, integración continua, pruebas y versionamiento?</t>
  </si>
  <si>
    <t>Ambientes y aprovisionamiento: ¿Se definen los ambientes (desarrollo, pruebas, preproducción, producción) y quién los aprovisiona?</t>
  </si>
  <si>
    <t>Restricciones tecnológicas del cliente: ¿Se conocen estándares, arquitectura corporativa y licenciamiento exigidos por el cliente?</t>
  </si>
  <si>
    <t>Objetivo definido: ¿El objetivo del proyecto está definido y aprobado?</t>
  </si>
  <si>
    <t>Usuarios y roles identificados: ¿Se identifican los usuarios y roles?</t>
  </si>
  <si>
    <t>Funcionalidades identificadas: ¿Las funcionalidades están identificadas?</t>
  </si>
  <si>
    <t>Reglas de negocio conocidas: ¿Se conocen las reglas de negocio?</t>
  </si>
  <si>
    <t>Integraciones conocidas: ¿Se conocen las integraciones?</t>
  </si>
  <si>
    <t>Datos conocidos: ¿Se conocen los datos (entidades, fuentes, volúmenes, calidad)?</t>
  </si>
  <si>
    <t>Requisitos no funcionales conocidos: ¿Se conocen los requisitos no funcionales?</t>
  </si>
  <si>
    <t>Criterios de aceptación definidos: ¿Se definieron criterios de aceptación verificables?</t>
  </si>
  <si>
    <t>Fuera de alcance explícito: ¿Se declara explícitamente lo que no está incluido?</t>
  </si>
  <si>
    <t>Supuestos, restricciones y dependencias: ¿Se documentan supuestos, restricciones y dependencias del alcance?</t>
  </si>
  <si>
    <t>Validación formal del alcance: ¿El alcance fue validado formalmente por el cliente o sponsor?</t>
  </si>
  <si>
    <t>Equipo identificado: ¿El equipo que ejecutará está identificado?</t>
  </si>
  <si>
    <t>Experiencia en proyectos similares: ¿El equipo tiene experiencia en proyectos similares (arquetipo, tecnología, dominio)?</t>
  </si>
  <si>
    <t>Dedicación: ¿Se conoce la dedicación de cada integrante?</t>
  </si>
  <si>
    <t>Metodología de ejecución: ¿Está definida la metodología (ágil, tradicional, híbrida) y sus ceremonias?</t>
  </si>
  <si>
    <t>Disponibilidad del cliente: ¿Está asegurada la disponibilidad del cliente / product owner para decisiones y validaciones?</t>
  </si>
  <si>
    <t>Proveedores y subcontratistas: ¿Están identificados y contratados los proveedores o subcontratistas? (Admite N/A)</t>
  </si>
  <si>
    <t>Distribución geográfica y horaria: ¿Se conoce la distribución del equipo y su impacto en la coordinación?</t>
  </si>
  <si>
    <t>Dependencias externas de ejecución: ¿Se conocen dependencias como aprobaciones, compras, accesos y sus tiempos?</t>
  </si>
  <si>
    <t>Sector y dominio identificados: ¿Se identifica el sector y el dominio funcional?</t>
  </si>
  <si>
    <t>Regulación sectorial aplicable: ¿Se identifica la regulación del sector que impacta la solución?</t>
  </si>
  <si>
    <t>Modalidad contractual: ¿Se conoce la modalidad (licitación, precio fijo, tiempo y materiales, bolsa de horas)?</t>
  </si>
  <si>
    <t>Stakeholders y aprobaciones: ¿Se conocen los stakeholders y el ciclo de aprobaciones?</t>
  </si>
  <si>
    <t>Restricciones de calendario: ¿Se conocen fechas límite, hitos o ventanas de despliegue?</t>
  </si>
  <si>
    <t>Requisitos de auditoría y documentación: ¿Se conocen los entregables documentales y de auditoría exigidos por el sector o cliente?</t>
  </si>
  <si>
    <t>Cantidad de comparables: ¿Cuántos proyectos comparables se tienen?</t>
  </si>
  <si>
    <t>Similitud de los comparables: ¿Qué tan similares son (arquetipo, tipo de desarrollo, tamaño, tecnología, sector)?</t>
  </si>
  <si>
    <t>Completitud de los datos: ¿Los comparables tienen esfuerzo real, duración, tamaño y equipo registrados?</t>
  </si>
  <si>
    <t>Consistencia del registro: ¿El registro en la herramienta (p. ej. Jira) es consistente en tiempos, estados y tipos?</t>
  </si>
  <si>
    <t>Normalización del tamaño: ¿Los comparables tienen el tamaño expresado en la misma unidad?</t>
  </si>
  <si>
    <t>Productividad histórica derivada: ¿Se calculó la productividad (horas por unidad de tamaño)?</t>
  </si>
  <si>
    <t>Vigencia de los comparables: ¿Los comparables son recientes y con proceso y tecnología vigentes?</t>
  </si>
  <si>
    <t>Ficha de evaluación de madurez para estimación — EJEMPLO ILUSTRATIVO</t>
  </si>
  <si>
    <t>Portal de gestión y firma electrónica de contratos</t>
  </si>
  <si>
    <t>Entidad pública – Dirección de Contratación</t>
  </si>
  <si>
    <t>Arquitecto de soluciones + Líder de estimación</t>
  </si>
  <si>
    <t>2026-09-22</t>
  </si>
  <si>
    <t>Propuesta comercial (preventa)</t>
  </si>
  <si>
    <t>Documento de alcance v0.3, 2 talleres, backlog Jira (34 ítems)</t>
  </si>
  <si>
    <t>1.0</t>
  </si>
  <si>
    <t>Seguridad, identidad y confianza digital; Integración e interoperabilidad</t>
  </si>
  <si>
    <t>75% nuevo / 25% evolutivo según el líder técnico; no se clasificó cada funcionalidad.</t>
  </si>
  <si>
    <t>Nuevo desarrollo (75%); componente evolutivo sobre el portal de proveedores.</t>
  </si>
  <si>
    <t>El portal de proveedores solo lo conoce el equipo del cliente; sin inventario funcional.</t>
  </si>
  <si>
    <t>26 funcionalidades nuevas en backlog; algunas siguen como épicas («Gestión de contratos»).</t>
  </si>
  <si>
    <t>Cambian registro y consulta de proveedores; no se detallan los datos afectados.</t>
  </si>
  <si>
    <t>Se indica verbalmente que no hay retiros; sin confirmación formal.</t>
  </si>
  <si>
    <t>Diagrama de contexto borrador: portal, 3 sistemas de la entidad y proveedor de firma.</t>
  </si>
  <si>
    <t>Frontend web, API de negocio y BD identificados; no se marca nuevo vs. modificado.</t>
  </si>
  <si>
    <t>Acceso al repositorio del portal de proveedores no confirmado.</t>
  </si>
  <si>
    <t>Se reconoce regresión en el portal de proveedores sin casos identificados.</t>
  </si>
  <si>
    <t>No es un proyecto de modernización.</t>
  </si>
  <si>
    <t>Backlog clasificado en Jira (historia / defecto).</t>
  </si>
  <si>
    <t>Predominan flujos de gestión contractual, aprobaciones y pantallas.</t>
  </si>
  <si>
    <t>Aplicaciones por esfuerzo; justificación cualitativa.</t>
  </si>
  <si>
    <t>Aproximado: 60% aplicación, 25% integración, 15% seguridad.</t>
  </si>
  <si>
    <t>Secundarios: Integración y Seguridad (firma), con peso aproximado.</t>
  </si>
  <si>
    <t>Contrastado con backlog; el nombre sugería «firma digital» como principal.</t>
  </si>
  <si>
    <t>34 funcionalidades, 5 roles, 18 pantallas; reglas sin cuantificar.</t>
  </si>
  <si>
    <t>Drivers de seguridad (certificados, niveles de firma) no cuantificados.</t>
  </si>
  <si>
    <t>Abogados, supervisores, proveedores, firmantes, administrador + 4 sistemas.</t>
  </si>
  <si>
    <t>Servicio de firma SaaS por API; falta confirmar configuración de plantillas.</t>
  </si>
  <si>
    <t>Capacitación y soporte post-producción mezclados con el alcance.</t>
  </si>
  <si>
    <t>Regla aplicada: portal de firma → Aplicaciones + secundarios Seguridad e Integración.</t>
  </si>
  <si>
    <t>Revisado por arquitecto; falta registro con el estimador.</t>
  </si>
  <si>
    <t>Propósito: cotización; incluye portal y API; exclusión de BI no documentada.</t>
  </si>
  <si>
    <t>Backlog mezcla épicas con historias técnicas.</t>
  </si>
  <si>
    <t>Roles humanos identificados; sistemas externos sin detalle de datos.</t>
  </si>
  <si>
    <t>Eventos implícitos solo en historias principales.</t>
  </si>
  <si>
    <t>34 procesos identificados (≈80% del alcance estimado).</t>
  </si>
  <si>
    <t>Contrato, proveedor, documento, firma, obligación; faltan atributos.</t>
  </si>
  <si>
    <t>Movimientos de datos identificados solo en 3 procesos de ejemplo.</t>
  </si>
  <si>
    <t>Clase L por conteo; tamaño aproximado con valor de referencia.</t>
  </si>
  <si>
    <t>Cambios al portal de proveedores no desagregados.</t>
  </si>
  <si>
    <t>Auditoría y notificaciones tratadas como RNF; no están en el inventario.</t>
  </si>
  <si>
    <t>Maestros de tipos de contrato y plantillas; faltan parámetros de firma.</t>
  </si>
  <si>
    <t>Reportes de seguimiento contractual no especificados.</t>
  </si>
  <si>
    <t>Sin matriz de trazabilidad.</t>
  </si>
  <si>
    <t>Medición no revisada.</t>
  </si>
  <si>
    <t>Catálogo parcial con 22 reglas.</t>
  </si>
  <si>
    <t>Aprobación por cuantía conocida; excepciones y normativa sin detallar.</t>
  </si>
  <si>
    <t>Cálculo de pólizas y vencimientos identificado, sin especificar.</t>
  </si>
  <si>
    <t>En línea con notificaciones asíncronas; sin tiempo real.</t>
  </si>
  <si>
    <t>Arquitectura en capas conocida; novedad en la integración de firma.</t>
  </si>
  <si>
    <t>Firma con certificados declarada crítica; requisitos no especificados.</t>
  </si>
  <si>
    <t>≈300 usuarios; sin transacciones ni tiempos de respuesta.</t>
  </si>
  <si>
    <t>Sin SLA ni requisitos de disponibilidad.</t>
  </si>
  <si>
    <t>Dependencias con entidad y proveedor de firma calificadas como críticas.</t>
  </si>
  <si>
    <t>Protección de datos y contratación estatal identificadas; accesibilidad pendiente.</t>
  </si>
  <si>
    <t>Web responsive, un idioma, una entidad.</t>
  </si>
  <si>
    <t>Reglas 1, arquitectura 1, seguridad 2, procesamiento 1, dependencias 2 = 7 (Alta).</t>
  </si>
  <si>
    <t>4 interfaces (3 de la entidad + proveedor de firma); falta frecuencia.</t>
  </si>
  <si>
    <t>Interfaces no asociadas a procesos ni a datos intercambiados.</t>
  </si>
  <si>
    <t>OpenAPI del proveedor disponible; sistemas de la entidad sin especificación.</t>
  </si>
  <si>
    <t>REST y SOAP; SOAP legado poco conocido por el equipo.</t>
  </si>
  <si>
    <t>Sincronía supuesta; volumen desconocido.</t>
  </si>
  <si>
    <t>Sin mapeos de datos.</t>
  </si>
  <si>
    <t>OAuth2 con proveedor; certificados con la entidad por confirmar.</t>
  </si>
  <si>
    <t>Sandbox del proveedor disponible; ambientes de la entidad no confirmados.</t>
  </si>
  <si>
    <t>Contactos identificados; sin acuerdos de respuesta.</t>
  </si>
  <si>
    <t>Sistema presupuestal calificado como crítico; otros sin evaluar.</t>
  </si>
  <si>
    <t>I2: 4 interfaces, una compleja (SOAP legado).</t>
  </si>
  <si>
    <t>No se sabe si la entidad debe construir servicios.</t>
  </si>
  <si>
    <t>Componente de autenticación y plantillas UI de proyectos previos.</t>
  </si>
  <si>
    <t>Sin clasificación por funcionalidad.</t>
  </si>
  <si>
    <t>Estado de los componentes no evaluado.</t>
  </si>
  <si>
    <t>No se consideró esfuerzo de adaptación.</t>
  </si>
  <si>
    <t>No se usará generación de código.</t>
  </si>
  <si>
    <t>R3 (≈30%) por juicio del arquitecto.</t>
  </si>
  <si>
    <t>Proyecto previo de gestión documental con firma.</t>
  </si>
  <si>
    <t>Java 17, Spring Boot 3, Angular 17.</t>
  </si>
  <si>
    <t>Cloud de la entidad; proveedor por confirmar.</t>
  </si>
  <si>
    <t>PostgreSQL 15 + almacenamiento de objetos.</t>
  </si>
  <si>
    <t>T1 en el stack, T2 en el servicio de firma.</t>
  </si>
  <si>
    <t>GitLab CI y SonarQube; pruebas automatizadas por definir.</t>
  </si>
  <si>
    <t>Ambientes de la entidad sin responsable.</t>
  </si>
  <si>
    <t>Lineamientos corporativos no recibidos.</t>
  </si>
  <si>
    <t>Objetivo documentado y aprobado.</t>
  </si>
  <si>
    <t>5 roles identificados con permisos.</t>
  </si>
  <si>
    <t>34 funcionalidades (≈80%).</t>
  </si>
  <si>
    <t>Faltan excepciones y reglas normativas.</t>
  </si>
  <si>
    <t>Integraciones identificadas sin detalle.</t>
  </si>
  <si>
    <t>RNF solo enunciados.</t>
  </si>
  <si>
    <t>Criterios de aceptación en 5 de 34 historias.</t>
  </si>
  <si>
    <t>Fuera de alcance no explícito.</t>
  </si>
  <si>
    <t>Supuestos en la propuesta.</t>
  </si>
  <si>
    <t>Líder técnico y 2 desarrolladores asignados; faltan QA y frontend.</t>
  </si>
  <si>
    <t>2 proyectos similares.</t>
  </si>
  <si>
    <t>Núcleo al 100%; QA parcial.</t>
  </si>
  <si>
    <t>Scrum, sprints de 2 semanas, acordado.</t>
  </si>
  <si>
    <t>Product owner con disponibilidad parcial.</t>
  </si>
  <si>
    <t>Proveedor de firma en contratación.</t>
  </si>
  <si>
    <t>Equipo en la misma ciudad y zona horaria.</t>
  </si>
  <si>
    <t>Accesos y aprobaciones sin tiempos definidos.</t>
  </si>
  <si>
    <t>Gobierno – contratación pública.</t>
  </si>
  <si>
    <t>Normativa de contratación y firma identificadas.</t>
  </si>
  <si>
    <t>Precio fijo por licitación.</t>
  </si>
  <si>
    <t>Comité mencionado; ciclo no definido.</t>
  </si>
  <si>
    <t>Producción antes del cierre de vigencia fiscal.</t>
  </si>
  <si>
    <t>Requisitos documentales no recibidos.</t>
  </si>
  <si>
    <t>3 comparables en Jira.</t>
  </si>
  <si>
    <t>2 del mismo arquetipo, tamaños distintos.</t>
  </si>
  <si>
    <t>Worklogs incompletos en 2 de 3.</t>
  </si>
  <si>
    <t>Estados y tipos inconsistentes.</t>
  </si>
  <si>
    <t>Sin unidad de tamaño común.</t>
  </si>
  <si>
    <t>Productividad solo para 1 proyecto.</t>
  </si>
  <si>
    <t>Últimos 2 años, misma tecnología.</t>
  </si>
  <si>
    <t>Resultados de la evaluación de madurez</t>
  </si>
  <si>
    <t>Ficha a analizar (seleccionar):</t>
  </si>
  <si>
    <t>Ejemplo</t>
  </si>
  <si>
    <t>Todas las cifras de esta hoja se leen de la ficha seleccionada (Ejemplo o Ficha).</t>
  </si>
  <si>
    <t>Madurez general</t>
  </si>
  <si>
    <t>Nivel final</t>
  </si>
  <si>
    <t>Madurez por dimensión</t>
  </si>
  <si>
    <t>Aporte</t>
  </si>
  <si>
    <t>En 0</t>
  </si>
  <si>
    <t>En 1</t>
  </si>
  <si>
    <t>En 2</t>
  </si>
  <si>
    <t>En 3</t>
  </si>
  <si>
    <t>Sin evaluar</t>
  </si>
  <si>
    <t>Principal brecha</t>
  </si>
  <si>
    <t>Caracterización del proyecto (valores del catálogo)</t>
  </si>
  <si>
    <t>D1 · Tipo de desarrollo predominante</t>
  </si>
  <si>
    <t>D1 · Control de composición</t>
  </si>
  <si>
    <t>D2 · Arquetipo principal</t>
  </si>
  <si>
    <t>D2 · Arquetipos secundarios</t>
  </si>
  <si>
    <t>D2 · Predominio del arquetipo</t>
  </si>
  <si>
    <t>D3 · Clase de tamaño</t>
  </si>
  <si>
    <t>D3 · Tamaño aproximado</t>
  </si>
  <si>
    <t>D3 · Tamaño medido</t>
  </si>
  <si>
    <t>D4 · Puntaje de complejidad</t>
  </si>
  <si>
    <t>D4 · Nivel de complejidad</t>
  </si>
  <si>
    <t>D5 · Nivel de integración</t>
  </si>
  <si>
    <t>D6 · Nivel de reutilización</t>
  </si>
  <si>
    <t>D8 · Madurez del alcance (catálogo)</t>
  </si>
  <si>
    <t>Top 10 brechas priorizadas (puntaje bajo × peso del criterio × peso de la dimensión)</t>
  </si>
  <si>
    <t>Hallazgo / comentario sugerido</t>
  </si>
  <si>
    <t>Prioridad</t>
  </si>
  <si>
    <t>Validaciones de consistencia</t>
  </si>
  <si>
    <t>Regla</t>
  </si>
  <si>
    <t>Acción sugerida</t>
  </si>
  <si>
    <t>Inconsistencias detectadas</t>
  </si>
  <si>
    <t>Interpretación de niveles de madurez</t>
  </si>
  <si>
    <t>Desde</t>
  </si>
  <si>
    <t>Técnica sugerida</t>
  </si>
  <si>
    <t>Glosario de conceptos de medición funcional usados en el modelo</t>
  </si>
  <si>
    <t>Los criterios de Tamaño, Integración y Tipo de desarrollo aplican los conceptos del método de medición funcional COSMIC (ISO/IEC 19761). Se incluyen aquí para que el evaluador califique con el mismo significado.</t>
  </si>
  <si>
    <t>Concepto</t>
  </si>
  <si>
    <t>Definición</t>
  </si>
  <si>
    <t>Uso en la evaluación</t>
  </si>
  <si>
    <t>Propósito de la medición</t>
  </si>
  <si>
    <t>Razón por la cual se mide (p. ej. cotizar un proyecto). Determina qué se incluye y con qué detalle.</t>
  </si>
  <si>
    <t>Alcance de la medición</t>
  </si>
  <si>
    <t>Conjunto de requisitos funcionales y piezas de software incluidos en una medición.</t>
  </si>
  <si>
    <t>D3.01, D1.07</t>
  </si>
  <si>
    <t>Capa</t>
  </si>
  <si>
    <t>División funcional de la arquitectura (p. ej. aplicación, servicios, infraestructura) cuyos componentes se miden por separado.</t>
  </si>
  <si>
    <t>Componente par</t>
  </si>
  <si>
    <t>Pieza de software en la misma capa que intercambia datos con la que se mide; se trata como usuario funcional.</t>
  </si>
  <si>
    <t>D1.08, D5.02</t>
  </si>
  <si>
    <t>Frontera</t>
  </si>
  <si>
    <t>Límite conceptual entre el software medido y sus usuarios funcionales.</t>
  </si>
  <si>
    <t>D1.07, D5.02</t>
  </si>
  <si>
    <t>Usuario funcional</t>
  </si>
  <si>
    <t>Emisor o receptor de datos del software: persona (por rol), otro sistema, dispositivo o componente.</t>
  </si>
  <si>
    <t>D2.08, D3.03</t>
  </si>
  <si>
    <t>Evento desencadenante</t>
  </si>
  <si>
    <t>Suceso fuera del software (acción de usuario, mensaje, tiempo) que inicia un proceso funcional.</t>
  </si>
  <si>
    <t>Proceso funcional</t>
  </si>
  <si>
    <t>Conjunto único de movimientos de datos que responde a un evento desencadenante y termina cuando completa su respuesta. Unidad para contar «funcionalidades».</t>
  </si>
  <si>
    <t>D1.04, D3.05, Parte A (D3)</t>
  </si>
  <si>
    <t>Objeto de interés</t>
  </si>
  <si>
    <t>Cosa del negocio sobre la que el software almacena o procesa información (contrato, proveedor…).</t>
  </si>
  <si>
    <t>Grupo de datos</t>
  </si>
  <si>
    <t>Conjunto de atributos que describen un mismo objeto de interés.</t>
  </si>
  <si>
    <t>D3.06, D5.02</t>
  </si>
  <si>
    <t>Movimiento de datos</t>
  </si>
  <si>
    <t>Movimiento de un grupo de datos. Hay cuatro tipos: Entrada, Salida, Lectura y Escritura. Cada uno vale 1 punto de función.</t>
  </si>
  <si>
    <t>D3.07, D3.12</t>
  </si>
  <si>
    <t>Entrada (E)</t>
  </si>
  <si>
    <t>Mueve un grupo de datos desde un usuario funcional hacia el software a través de la frontera.</t>
  </si>
  <si>
    <t>D3.07, D5.02</t>
  </si>
  <si>
    <t>Salida (X)</t>
  </si>
  <si>
    <t>Mueve un grupo de datos desde el software hacia un usuario funcional (incluye reportes y mensajes).</t>
  </si>
  <si>
    <t>D3.07, D3.12, D5.02</t>
  </si>
  <si>
    <t>Lectura (R)</t>
  </si>
  <si>
    <t>Trae un grupo de datos desde almacenamiento persistente al proceso.</t>
  </si>
  <si>
    <t>Escritura (W)</t>
  </si>
  <si>
    <t>Lleva un grupo de datos desde el proceso a almacenamiento persistente.</t>
  </si>
  <si>
    <t>Manipulación de datos</t>
  </si>
  <si>
    <t>Cálculos y transformaciones dentro de un proceso. El tamaño funcional no la mide por separado; por eso se captura en Complejidad.</t>
  </si>
  <si>
    <t>Nivel de granularidad</t>
  </si>
  <si>
    <t>Nivel de detalle de los requisitos. Para medir, todos deben estar al nivel de proceso funcional.</t>
  </si>
  <si>
    <t>Tamaño de un cambio</t>
  </si>
  <si>
    <t>En evolutivos: suma de movimientos de datos agregados, modificados y eliminados.</t>
  </si>
  <si>
    <t>D1.05, D3.09</t>
  </si>
  <si>
    <t>Aproximación temprana</t>
  </si>
  <si>
    <t>Estimación del tamaño cuando no hay detalle: N° de procesos × tamaño promedio calibrado.</t>
  </si>
  <si>
    <t>Parte A (D3), Parametros</t>
  </si>
  <si>
    <t>Requisito no funcional que genera funcionalidad</t>
  </si>
  <si>
    <t>Requisito de calidad que al detallarse se implementa como procesos funcionales (bitácoras, notificaciones, permisos).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</si>
</sst>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6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b/>
      <sz val="11"/>
      <color rgb="FF000000"/>
      <name val="Arial"/>
      <charset val="1"/>
    </font>
    <font>
      <sz val="10"/>
      <name val="Arial"/>
      <family val="2"/>
    </font>
    <font>
      <b/>
      <sz val="10"/>
      <name val="Arial"/>
      <charset val="1"/>
    </font>
    <font>
      <sz val="10"/>
      <color rgb="FF808080"/>
      <name val="Arial"/>
      <charset val="1"/>
    </font>
    <font>
      <b/>
      <sz val="12"/>
      <color rgb="FF000000"/>
      <name val="Arial"/>
      <charset val="1"/>
    </font>
    <font>
      <b/>
      <sz val="10"/>
      <color rgb="FF1F3864"/>
      <name val="Arial"/>
      <charset val="1"/>
    </font>
    <font>
      <b/>
      <sz val="10"/>
      <color rgb="FF0000FF"/>
      <name val="Arial"/>
      <charset val="1"/>
    </font>
    <font>
      <b/>
      <sz val="13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F5597"/>
        <b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9" fontId="6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top" wrapText="1"/>
    </xf>
    <xf numFmtId="0" fontId="5" fillId="6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vertical="top" wrapText="1"/>
    </xf>
    <xf numFmtId="9" fontId="3" fillId="0" borderId="1" xfId="0" applyNumberFormat="1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165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13" fillId="4" borderId="0" xfId="0" applyFont="1" applyFill="1" applyAlignment="1">
      <alignment vertical="center"/>
    </xf>
    <xf numFmtId="0" fontId="13" fillId="3" borderId="0" xfId="0" applyFont="1" applyFill="1" applyAlignment="1">
      <alignment vertical="center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5" fillId="2" borderId="1" xfId="0" applyFont="1" applyFill="1" applyBorder="1" applyAlignment="1">
      <alignment vertical="center"/>
    </xf>
    <xf numFmtId="0" fontId="5" fillId="6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C00000"/>
        <name val="Arial"/>
        <charset val="1"/>
      </font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  <dxf>
      <fill>
        <patternFill>
          <bgColor rgb="FFC6EFCE"/>
        </patternFill>
      </fill>
    </dxf>
    <dxf>
      <font>
        <b/>
        <color rgb="FF9C0006"/>
        <name val="Arial"/>
        <charset val="1"/>
      </font>
      <fill>
        <patternFill>
          <bgColor rgb="FFF8CBAD"/>
        </patternFill>
      </fill>
    </dxf>
    <dxf>
      <font>
        <b/>
        <color rgb="FFC00000"/>
        <name val="Arial"/>
        <charset val="1"/>
      </font>
    </dxf>
    <dxf>
      <fill>
        <patternFill>
          <bgColor rgb="FFD9D9D9"/>
        </patternFill>
      </fill>
    </dxf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CE4D6"/>
      <rgbColor rgb="FFF9F9F9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Madurez por dimensión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Resultados!E15</c:f>
              <c:strCache>
                <c:ptCount val="1"/>
                <c:pt idx="0">
                  <c:v>Madurez</c:v>
                </c:pt>
              </c:strCache>
            </c:strRef>
          </c:tx>
          <c:spPr>
            <a:solidFill>
              <a:srgbClr val="2F55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Resultados!$B$16:$B$26</c:f>
              <c:strCache>
                <c:ptCount val="11"/>
                <c:pt idx="0">
                  <c:v>D1 · Tipo de desarrollo</c:v>
                </c:pt>
                <c:pt idx="1">
                  <c:v>D2 · Tipo de solución / arquetipo</c:v>
                </c:pt>
                <c:pt idx="2">
                  <c:v>D3 · Tamaño funcional</c:v>
                </c:pt>
                <c:pt idx="3">
                  <c:v>D4 · Complejidad</c:v>
                </c:pt>
                <c:pt idx="4">
                  <c:v>D5 · Integración / interdependencia</c:v>
                </c:pt>
                <c:pt idx="5">
                  <c:v>D6 · Novedad y reutilización</c:v>
                </c:pt>
                <c:pt idx="6">
                  <c:v>D7 · Entorno tecnológico</c:v>
                </c:pt>
                <c:pt idx="7">
                  <c:v>D8 · Madurez del alcance</c:v>
                </c:pt>
                <c:pt idx="8">
                  <c:v>D9 · Contexto de ejecución</c:v>
                </c:pt>
                <c:pt idx="9">
                  <c:v>D10 · Sector / contexto de negocio</c:v>
                </c:pt>
                <c:pt idx="10">
                  <c:v>D11 · Evidencia histórica disponible</c:v>
                </c:pt>
              </c:strCache>
            </c:strRef>
          </c:cat>
          <c:val>
            <c:numRef>
              <c:f>Resultados!$E$16:$E$26</c:f>
              <c:numCache>
                <c:formatCode>0.0%</c:formatCode>
                <c:ptCount val="11"/>
                <c:pt idx="0">
                  <c:v>0.6</c:v>
                </c:pt>
                <c:pt idx="1">
                  <c:v>0.71014492753623193</c:v>
                </c:pt>
                <c:pt idx="2">
                  <c:v>0.4946236559139785</c:v>
                </c:pt>
                <c:pt idx="3">
                  <c:v>0.58974358974358976</c:v>
                </c:pt>
                <c:pt idx="4">
                  <c:v>0.51190476190476186</c:v>
                </c:pt>
                <c:pt idx="5">
                  <c:v>0.47222222222222221</c:v>
                </c:pt>
                <c:pt idx="6">
                  <c:v>0.68888888888888888</c:v>
                </c:pt>
                <c:pt idx="7">
                  <c:v>0.56521739130434778</c:v>
                </c:pt>
                <c:pt idx="8">
                  <c:v>0.64583333333333337</c:v>
                </c:pt>
                <c:pt idx="9">
                  <c:v>0.60606060606060608</c:v>
                </c:pt>
                <c:pt idx="10">
                  <c:v>0.39583333333333331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0-491A-8C87-9F993DB25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33761"/>
        <c:axId val="51680301"/>
      </c:barChart>
      <c:catAx>
        <c:axId val="5043376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680301"/>
        <c:crosses val="autoZero"/>
        <c:auto val="1"/>
        <c:lblAlgn val="ctr"/>
        <c:lblOffset val="100"/>
        <c:noMultiLvlLbl val="0"/>
      </c:catAx>
      <c:valAx>
        <c:axId val="51680301"/>
        <c:scaling>
          <c:orientation val="minMax"/>
          <c:max val="1"/>
          <c:min val="0"/>
        </c:scaling>
        <c:delete val="0"/>
        <c:axPos val="t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Madurez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43376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78120</xdr:rowOff>
    </xdr:from>
    <xdr:to>
      <xdr:col>8</xdr:col>
      <xdr:colOff>307440</xdr:colOff>
      <xdr:row>44</xdr:row>
      <xdr:rowOff>79200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zoomScale="90" zoomScaleNormal="90" workbookViewId="0"/>
  </sheetViews>
  <sheetFormatPr defaultColWidth="8.7109375" defaultRowHeight="15"/>
  <cols>
    <col min="1" max="1" width="32" customWidth="1"/>
    <col min="2" max="2" width="90" customWidth="1"/>
    <col min="3" max="3" width="30" customWidth="1"/>
  </cols>
  <sheetData>
    <row r="1" spans="1:3" ht="27.75" customHeight="1">
      <c r="A1" s="47" t="s">
        <v>0</v>
      </c>
      <c r="B1" s="47"/>
      <c r="C1" s="47"/>
    </row>
    <row r="3" spans="1:3" ht="43.5" customHeight="1">
      <c r="A3" s="3" t="s">
        <v>1</v>
      </c>
      <c r="B3" s="30" t="s">
        <v>2</v>
      </c>
      <c r="C3" s="30"/>
    </row>
    <row r="4" spans="1:3" ht="43.5" customHeight="1">
      <c r="A4" s="3" t="s">
        <v>3</v>
      </c>
      <c r="B4" s="30" t="s">
        <v>4</v>
      </c>
      <c r="C4" s="30"/>
    </row>
    <row r="5" spans="1:3" ht="43.5" customHeight="1">
      <c r="A5" s="3" t="s">
        <v>5</v>
      </c>
      <c r="B5" s="30" t="s">
        <v>6</v>
      </c>
      <c r="C5" s="30"/>
    </row>
    <row r="6" spans="1:3" ht="43.5" customHeight="1">
      <c r="A6" s="1" t="s">
        <v>7</v>
      </c>
      <c r="B6" s="30" t="s">
        <v>8</v>
      </c>
      <c r="C6" s="30"/>
    </row>
    <row r="7" spans="1:3" ht="43.5" customHeight="1">
      <c r="A7" s="1" t="s">
        <v>9</v>
      </c>
      <c r="B7" s="30" t="s">
        <v>10</v>
      </c>
      <c r="C7" s="30"/>
    </row>
    <row r="8" spans="1:3" ht="43.5" customHeight="1">
      <c r="A8" s="1" t="s">
        <v>11</v>
      </c>
      <c r="B8" s="30" t="s">
        <v>12</v>
      </c>
      <c r="C8" s="30"/>
    </row>
    <row r="9" spans="1:3" ht="43.5" customHeight="1">
      <c r="A9" s="1" t="s">
        <v>13</v>
      </c>
      <c r="B9" s="30" t="s">
        <v>14</v>
      </c>
      <c r="C9" s="30"/>
    </row>
    <row r="10" spans="1:3" ht="43.5" customHeight="1">
      <c r="A10" s="1" t="s">
        <v>15</v>
      </c>
      <c r="B10" s="30" t="s">
        <v>16</v>
      </c>
      <c r="C10" s="30"/>
    </row>
    <row r="11" spans="1:3" ht="43.5" customHeight="1">
      <c r="A11" s="1" t="s">
        <v>17</v>
      </c>
      <c r="B11" s="30" t="s">
        <v>18</v>
      </c>
      <c r="C11" s="30"/>
    </row>
    <row r="12" spans="1:3" ht="43.5" customHeight="1">
      <c r="A12" s="3" t="s">
        <v>19</v>
      </c>
      <c r="B12" s="30" t="s">
        <v>20</v>
      </c>
      <c r="C12" s="30"/>
    </row>
    <row r="13" spans="1:3" ht="43.5" customHeight="1">
      <c r="A13" s="3" t="s">
        <v>21</v>
      </c>
      <c r="B13" s="30" t="s">
        <v>22</v>
      </c>
      <c r="C13" s="30"/>
    </row>
    <row r="14" spans="1:3" ht="43.5" customHeight="1">
      <c r="A14" s="3" t="s">
        <v>23</v>
      </c>
      <c r="B14" s="30" t="s">
        <v>24</v>
      </c>
      <c r="C14" s="30"/>
    </row>
    <row r="15" spans="1:3" ht="43.5" customHeight="1">
      <c r="A15" s="3" t="s">
        <v>25</v>
      </c>
      <c r="B15" s="30" t="s">
        <v>26</v>
      </c>
      <c r="C15" s="30"/>
    </row>
    <row r="16" spans="1:3" ht="43.5" customHeight="1">
      <c r="A16" s="3" t="s">
        <v>27</v>
      </c>
      <c r="B16" s="30" t="s">
        <v>28</v>
      </c>
      <c r="C16" s="30"/>
    </row>
    <row r="17" spans="1:3" ht="43.5" customHeight="1">
      <c r="A17" s="3" t="s">
        <v>29</v>
      </c>
      <c r="B17" s="30" t="s">
        <v>30</v>
      </c>
      <c r="C17" s="30"/>
    </row>
    <row r="18" spans="1:3" ht="43.5" customHeight="1">
      <c r="A18" s="3" t="s">
        <v>31</v>
      </c>
      <c r="B18" s="30" t="s">
        <v>32</v>
      </c>
      <c r="C18" s="30"/>
    </row>
    <row r="19" spans="1:3" ht="43.5" customHeight="1">
      <c r="A19" s="3" t="s">
        <v>33</v>
      </c>
      <c r="B19" s="30" t="s">
        <v>34</v>
      </c>
      <c r="C19" s="30"/>
    </row>
  </sheetData>
  <mergeCells count="18">
    <mergeCell ref="A1:C1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7:C17"/>
    <mergeCell ref="B18:C18"/>
    <mergeCell ref="B19:C19"/>
    <mergeCell ref="B12:C12"/>
    <mergeCell ref="B13:C13"/>
    <mergeCell ref="B14:C14"/>
    <mergeCell ref="B15:C15"/>
    <mergeCell ref="B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zoomScale="90" zoomScaleNormal="90" workbookViewId="0">
      <pane xSplit="2" ySplit="3" topLeftCell="C4" activePane="bottomRight" state="frozen"/>
      <selection pane="bottomRight"/>
      <selection pane="bottomLeft" activeCell="A4" sqref="A4"/>
      <selection pane="topRight" activeCell="C1" sqref="C1"/>
    </sheetView>
  </sheetViews>
  <sheetFormatPr defaultColWidth="8.7109375" defaultRowHeight="15"/>
  <cols>
    <col min="1" max="1" width="8" customWidth="1"/>
    <col min="2" max="2" width="24" customWidth="1"/>
    <col min="3" max="3" width="14" customWidth="1"/>
    <col min="4" max="4" width="8" customWidth="1"/>
    <col min="5" max="5" width="30" customWidth="1"/>
    <col min="6" max="6" width="40" customWidth="1"/>
    <col min="7" max="7" width="42" customWidth="1"/>
    <col min="8" max="8" width="46" customWidth="1"/>
    <col min="9" max="10" width="10" customWidth="1"/>
    <col min="11" max="11" width="30" customWidth="1"/>
  </cols>
  <sheetData>
    <row r="1" spans="1:11" ht="27.75" customHeight="1">
      <c r="A1" s="47" t="s">
        <v>35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5" customHeight="1">
      <c r="A2" s="48" t="s">
        <v>36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3" spans="1:11" ht="35.1">
      <c r="A3" s="5" t="s">
        <v>37</v>
      </c>
      <c r="B3" s="5" t="s">
        <v>38</v>
      </c>
      <c r="C3" s="5" t="s">
        <v>39</v>
      </c>
      <c r="D3" s="5" t="s">
        <v>40</v>
      </c>
      <c r="E3" s="5" t="s">
        <v>41</v>
      </c>
      <c r="F3" s="5" t="s">
        <v>42</v>
      </c>
      <c r="G3" s="5" t="s">
        <v>43</v>
      </c>
      <c r="H3" s="5" t="s">
        <v>44</v>
      </c>
      <c r="I3" s="5" t="s">
        <v>45</v>
      </c>
      <c r="J3" s="5" t="s">
        <v>46</v>
      </c>
      <c r="K3" s="5" t="s">
        <v>47</v>
      </c>
    </row>
    <row r="4" spans="1:11" ht="35.1">
      <c r="A4" s="6" t="s">
        <v>48</v>
      </c>
      <c r="B4" s="7" t="s">
        <v>49</v>
      </c>
      <c r="C4" s="6" t="s">
        <v>50</v>
      </c>
      <c r="D4" s="8">
        <f>Parametros!D5</f>
        <v>0.12</v>
      </c>
      <c r="E4" s="4" t="s">
        <v>51</v>
      </c>
      <c r="F4" s="4" t="s">
        <v>52</v>
      </c>
      <c r="G4" s="4" t="s">
        <v>53</v>
      </c>
      <c r="H4" s="4" t="s">
        <v>54</v>
      </c>
      <c r="I4" s="9">
        <f>COUNTIF(Rubricas!$B$4:$B$112,A4)</f>
        <v>12</v>
      </c>
      <c r="J4" s="9">
        <f>SUMIF(Rubricas!$B$4:$B$112,A4,Rubricas!$M$4:$M$112)</f>
        <v>27</v>
      </c>
      <c r="K4" s="4" t="s">
        <v>55</v>
      </c>
    </row>
    <row r="5" spans="1:11" ht="35.1">
      <c r="A5" s="6" t="s">
        <v>56</v>
      </c>
      <c r="B5" s="7" t="s">
        <v>57</v>
      </c>
      <c r="C5" s="6" t="s">
        <v>50</v>
      </c>
      <c r="D5" s="8">
        <f>Parametros!D6</f>
        <v>0.11</v>
      </c>
      <c r="E5" s="4" t="s">
        <v>58</v>
      </c>
      <c r="F5" s="4" t="s">
        <v>59</v>
      </c>
      <c r="G5" s="4" t="s">
        <v>60</v>
      </c>
      <c r="H5" s="4" t="s">
        <v>61</v>
      </c>
      <c r="I5" s="9">
        <f>COUNTIF(Rubricas!$B$4:$B$112,A5)</f>
        <v>12</v>
      </c>
      <c r="J5" s="9">
        <f>SUMIF(Rubricas!$B$4:$B$112,A5,Rubricas!$M$4:$M$112)</f>
        <v>23</v>
      </c>
      <c r="K5" s="4" t="s">
        <v>62</v>
      </c>
    </row>
    <row r="6" spans="1:11" ht="35.1">
      <c r="A6" s="6" t="s">
        <v>63</v>
      </c>
      <c r="B6" s="7" t="s">
        <v>64</v>
      </c>
      <c r="C6" s="6" t="s">
        <v>50</v>
      </c>
      <c r="D6" s="8">
        <f>Parametros!D7</f>
        <v>0.18</v>
      </c>
      <c r="E6" s="4" t="s">
        <v>65</v>
      </c>
      <c r="F6" s="4" t="s">
        <v>66</v>
      </c>
      <c r="G6" s="4" t="s">
        <v>67</v>
      </c>
      <c r="H6" s="4" t="s">
        <v>68</v>
      </c>
      <c r="I6" s="9">
        <f>COUNTIF(Rubricas!$B$4:$B$112,A6)</f>
        <v>14</v>
      </c>
      <c r="J6" s="9">
        <f>SUMIF(Rubricas!$B$4:$B$112,A6,Rubricas!$M$4:$M$112)</f>
        <v>31</v>
      </c>
      <c r="K6" s="4" t="s">
        <v>69</v>
      </c>
    </row>
    <row r="7" spans="1:11" ht="35.1">
      <c r="A7" s="6" t="s">
        <v>70</v>
      </c>
      <c r="B7" s="7" t="s">
        <v>71</v>
      </c>
      <c r="C7" s="6" t="s">
        <v>50</v>
      </c>
      <c r="D7" s="8">
        <f>Parametros!D8</f>
        <v>0.15</v>
      </c>
      <c r="E7" s="4" t="s">
        <v>72</v>
      </c>
      <c r="F7" s="4" t="s">
        <v>73</v>
      </c>
      <c r="G7" s="4" t="s">
        <v>74</v>
      </c>
      <c r="H7" s="4" t="s">
        <v>75</v>
      </c>
      <c r="I7" s="9">
        <f>COUNTIF(Rubricas!$B$4:$B$112,A7)</f>
        <v>12</v>
      </c>
      <c r="J7" s="9">
        <f>SUMIF(Rubricas!$B$4:$B$112,A7,Rubricas!$M$4:$M$112)</f>
        <v>26</v>
      </c>
      <c r="K7" s="4" t="s">
        <v>76</v>
      </c>
    </row>
    <row r="8" spans="1:11" ht="46.35">
      <c r="A8" s="6" t="s">
        <v>77</v>
      </c>
      <c r="B8" s="7" t="s">
        <v>78</v>
      </c>
      <c r="C8" s="6" t="s">
        <v>50</v>
      </c>
      <c r="D8" s="8">
        <f>Parametros!D9</f>
        <v>0.14000000000000001</v>
      </c>
      <c r="E8" s="4" t="s">
        <v>79</v>
      </c>
      <c r="F8" s="4" t="s">
        <v>80</v>
      </c>
      <c r="G8" s="4" t="s">
        <v>81</v>
      </c>
      <c r="H8" s="4" t="s">
        <v>82</v>
      </c>
      <c r="I8" s="9">
        <f>COUNTIF(Rubricas!$B$4:$B$112,A8)</f>
        <v>13</v>
      </c>
      <c r="J8" s="9">
        <f>SUMIF(Rubricas!$B$4:$B$112,A8,Rubricas!$M$4:$M$112)</f>
        <v>28</v>
      </c>
      <c r="K8" s="4" t="s">
        <v>83</v>
      </c>
    </row>
    <row r="9" spans="1:11" ht="35.1">
      <c r="A9" s="9" t="s">
        <v>84</v>
      </c>
      <c r="B9" s="4" t="s">
        <v>85</v>
      </c>
      <c r="C9" s="9" t="s">
        <v>86</v>
      </c>
      <c r="D9" s="8">
        <f>Parametros!D10</f>
        <v>0.05</v>
      </c>
      <c r="E9" s="4" t="s">
        <v>87</v>
      </c>
      <c r="F9" s="4" t="s">
        <v>88</v>
      </c>
      <c r="G9" s="4" t="s">
        <v>89</v>
      </c>
      <c r="H9" s="4" t="s">
        <v>90</v>
      </c>
      <c r="I9" s="9">
        <f>COUNTIF(Rubricas!$B$4:$B$112,A9)</f>
        <v>7</v>
      </c>
      <c r="J9" s="9">
        <f>SUMIF(Rubricas!$B$4:$B$112,A9,Rubricas!$M$4:$M$112)</f>
        <v>13</v>
      </c>
      <c r="K9" s="4" t="s">
        <v>91</v>
      </c>
    </row>
    <row r="10" spans="1:11" ht="23.85">
      <c r="A10" s="9" t="s">
        <v>92</v>
      </c>
      <c r="B10" s="4" t="s">
        <v>93</v>
      </c>
      <c r="C10" s="9" t="s">
        <v>86</v>
      </c>
      <c r="D10" s="8">
        <f>Parametros!D11</f>
        <v>0.05</v>
      </c>
      <c r="E10" s="4" t="s">
        <v>94</v>
      </c>
      <c r="F10" s="4" t="s">
        <v>95</v>
      </c>
      <c r="G10" s="4" t="s">
        <v>96</v>
      </c>
      <c r="H10" s="4" t="s">
        <v>97</v>
      </c>
      <c r="I10" s="9">
        <f>COUNTIF(Rubricas!$B$4:$B$112,A10)</f>
        <v>7</v>
      </c>
      <c r="J10" s="9">
        <f>SUMIF(Rubricas!$B$4:$B$112,A10,Rubricas!$M$4:$M$112)</f>
        <v>15</v>
      </c>
      <c r="K10" s="4" t="s">
        <v>98</v>
      </c>
    </row>
    <row r="11" spans="1:11" ht="35.1">
      <c r="A11" s="9" t="s">
        <v>99</v>
      </c>
      <c r="B11" s="4" t="s">
        <v>100</v>
      </c>
      <c r="C11" s="9" t="s">
        <v>86</v>
      </c>
      <c r="D11" s="8">
        <f>Parametros!D12</f>
        <v>7.0000000000000007E-2</v>
      </c>
      <c r="E11" s="4" t="s">
        <v>101</v>
      </c>
      <c r="F11" s="4" t="s">
        <v>102</v>
      </c>
      <c r="G11" s="4" t="s">
        <v>103</v>
      </c>
      <c r="H11" s="4" t="s">
        <v>104</v>
      </c>
      <c r="I11" s="9">
        <f>COUNTIF(Rubricas!$B$4:$B$112,A11)</f>
        <v>11</v>
      </c>
      <c r="J11" s="9">
        <f>SUMIF(Rubricas!$B$4:$B$112,A11,Rubricas!$M$4:$M$112)</f>
        <v>23</v>
      </c>
      <c r="K11" s="4" t="s">
        <v>105</v>
      </c>
    </row>
    <row r="12" spans="1:11" ht="23.85">
      <c r="A12" s="9" t="s">
        <v>106</v>
      </c>
      <c r="B12" s="4" t="s">
        <v>107</v>
      </c>
      <c r="C12" s="9" t="s">
        <v>86</v>
      </c>
      <c r="D12" s="8">
        <f>Parametros!D13</f>
        <v>0.05</v>
      </c>
      <c r="E12" s="4" t="s">
        <v>108</v>
      </c>
      <c r="F12" s="4" t="s">
        <v>109</v>
      </c>
      <c r="G12" s="4" t="s">
        <v>110</v>
      </c>
      <c r="H12" s="4" t="s">
        <v>111</v>
      </c>
      <c r="I12" s="9">
        <f>COUNTIF(Rubricas!$B$4:$B$112,A12)</f>
        <v>8</v>
      </c>
      <c r="J12" s="9">
        <f>SUMIF(Rubricas!$B$4:$B$112,A12,Rubricas!$M$4:$M$112)</f>
        <v>16</v>
      </c>
      <c r="K12" s="4" t="s">
        <v>112</v>
      </c>
    </row>
    <row r="13" spans="1:11" ht="23.85">
      <c r="A13" s="9" t="s">
        <v>113</v>
      </c>
      <c r="B13" s="4" t="s">
        <v>114</v>
      </c>
      <c r="C13" s="9" t="s">
        <v>86</v>
      </c>
      <c r="D13" s="8">
        <f>Parametros!D14</f>
        <v>0.03</v>
      </c>
      <c r="E13" s="4" t="s">
        <v>115</v>
      </c>
      <c r="F13" s="4" t="s">
        <v>116</v>
      </c>
      <c r="G13" s="4" t="s">
        <v>117</v>
      </c>
      <c r="H13" s="4" t="s">
        <v>118</v>
      </c>
      <c r="I13" s="9">
        <f>COUNTIF(Rubricas!$B$4:$B$112,A13)</f>
        <v>6</v>
      </c>
      <c r="J13" s="9">
        <f>SUMIF(Rubricas!$B$4:$B$112,A13,Rubricas!$M$4:$M$112)</f>
        <v>11</v>
      </c>
      <c r="K13" s="4" t="s">
        <v>119</v>
      </c>
    </row>
    <row r="14" spans="1:11" ht="23.85">
      <c r="A14" s="9" t="s">
        <v>120</v>
      </c>
      <c r="B14" s="4" t="s">
        <v>121</v>
      </c>
      <c r="C14" s="9" t="s">
        <v>86</v>
      </c>
      <c r="D14" s="8">
        <f>Parametros!D15</f>
        <v>0.05</v>
      </c>
      <c r="E14" s="4" t="s">
        <v>122</v>
      </c>
      <c r="F14" s="4" t="s">
        <v>123</v>
      </c>
      <c r="G14" s="4" t="s">
        <v>124</v>
      </c>
      <c r="H14" s="4" t="s">
        <v>125</v>
      </c>
      <c r="I14" s="9">
        <f>COUNTIF(Rubricas!$B$4:$B$112,A14)</f>
        <v>7</v>
      </c>
      <c r="J14" s="9">
        <f>SUMIF(Rubricas!$B$4:$B$112,A14,Rubricas!$M$4:$M$112)</f>
        <v>16</v>
      </c>
      <c r="K14" s="4" t="s">
        <v>98</v>
      </c>
    </row>
    <row r="15" spans="1:11">
      <c r="C15" s="10" t="s">
        <v>126</v>
      </c>
      <c r="D15" s="11">
        <f>SUM(D4:D14)</f>
        <v>1.0000000000000002</v>
      </c>
      <c r="I15" s="12">
        <f>SUM(I4:I14)</f>
        <v>109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2"/>
  <sheetViews>
    <sheetView tabSelected="1" zoomScale="90" zoomScaleNormal="90" workbookViewId="0">
      <pane xSplit="6" ySplit="3" topLeftCell="G4" activePane="bottomRight" state="frozen"/>
      <selection pane="bottomRight"/>
      <selection pane="bottomLeft" activeCell="A4" sqref="A4"/>
      <selection pane="topRight" activeCell="G1" sqref="G1"/>
    </sheetView>
  </sheetViews>
  <sheetFormatPr defaultColWidth="8.7109375" defaultRowHeight="15"/>
  <cols>
    <col min="1" max="1" width="8" customWidth="1"/>
    <col min="2" max="2" width="7" customWidth="1"/>
    <col min="3" max="3" width="20" customWidth="1"/>
    <col min="4" max="4" width="21.42578125" customWidth="1"/>
    <col min="5" max="5" width="20" customWidth="1"/>
    <col min="6" max="6" width="28" customWidth="1"/>
    <col min="7" max="7" width="50" customWidth="1"/>
    <col min="8" max="8" width="30" customWidth="1"/>
    <col min="9" max="9" width="24" customWidth="1"/>
    <col min="10" max="11" width="26" customWidth="1"/>
    <col min="12" max="12" width="30" customWidth="1"/>
    <col min="13" max="14" width="9" customWidth="1"/>
    <col min="15" max="15" width="50" customWidth="1"/>
    <col min="16" max="16" width="16" customWidth="1"/>
  </cols>
  <sheetData>
    <row r="1" spans="1:16" ht="27.75" customHeight="1">
      <c r="A1" s="47" t="s">
        <v>127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ht="27.75" customHeight="1">
      <c r="A2" s="48" t="s">
        <v>128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</row>
    <row r="3" spans="1:16" ht="46.35">
      <c r="A3" s="5" t="s">
        <v>129</v>
      </c>
      <c r="B3" s="5" t="s">
        <v>37</v>
      </c>
      <c r="C3" s="5" t="s">
        <v>38</v>
      </c>
      <c r="D3" s="5" t="s">
        <v>39</v>
      </c>
      <c r="E3" s="5" t="s">
        <v>130</v>
      </c>
      <c r="F3" s="5" t="s">
        <v>131</v>
      </c>
      <c r="G3" s="5" t="s">
        <v>132</v>
      </c>
      <c r="H3" s="5" t="s">
        <v>133</v>
      </c>
      <c r="I3" s="5" t="s">
        <v>134</v>
      </c>
      <c r="J3" s="5" t="s">
        <v>135</v>
      </c>
      <c r="K3" s="5" t="s">
        <v>136</v>
      </c>
      <c r="L3" s="5" t="s">
        <v>137</v>
      </c>
      <c r="M3" s="5" t="s">
        <v>138</v>
      </c>
      <c r="N3" s="5" t="s">
        <v>139</v>
      </c>
      <c r="O3" s="5" t="s">
        <v>140</v>
      </c>
      <c r="P3" s="5" t="s">
        <v>141</v>
      </c>
    </row>
    <row r="4" spans="1:16" ht="35.1">
      <c r="A4" s="6" t="s">
        <v>142</v>
      </c>
      <c r="B4" s="6" t="s">
        <v>48</v>
      </c>
      <c r="C4" s="7" t="s">
        <v>49</v>
      </c>
      <c r="D4" s="6" t="s">
        <v>50</v>
      </c>
      <c r="E4" s="7" t="s">
        <v>143</v>
      </c>
      <c r="F4" s="7" t="s">
        <v>144</v>
      </c>
      <c r="G4" s="4" t="s">
        <v>145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150</v>
      </c>
      <c r="M4" s="2">
        <v>3</v>
      </c>
      <c r="N4" s="9" t="s">
        <v>151</v>
      </c>
      <c r="O4" s="4" t="s">
        <v>152</v>
      </c>
      <c r="P4" s="4" t="s">
        <v>153</v>
      </c>
    </row>
    <row r="5" spans="1:16" ht="46.35">
      <c r="A5" s="6" t="s">
        <v>154</v>
      </c>
      <c r="B5" s="6" t="s">
        <v>48</v>
      </c>
      <c r="C5" s="7" t="s">
        <v>49</v>
      </c>
      <c r="D5" s="6" t="s">
        <v>50</v>
      </c>
      <c r="E5" s="7" t="s">
        <v>143</v>
      </c>
      <c r="F5" s="7" t="s">
        <v>155</v>
      </c>
      <c r="G5" s="4" t="s">
        <v>156</v>
      </c>
      <c r="H5" s="4" t="s">
        <v>157</v>
      </c>
      <c r="I5" s="4" t="s">
        <v>158</v>
      </c>
      <c r="J5" s="4" t="s">
        <v>159</v>
      </c>
      <c r="K5" s="4" t="s">
        <v>160</v>
      </c>
      <c r="L5" s="4" t="s">
        <v>161</v>
      </c>
      <c r="M5" s="2">
        <v>3</v>
      </c>
      <c r="N5" s="9" t="s">
        <v>151</v>
      </c>
      <c r="O5" s="4" t="s">
        <v>162</v>
      </c>
      <c r="P5" s="4" t="s">
        <v>153</v>
      </c>
    </row>
    <row r="6" spans="1:16" ht="35.1">
      <c r="A6" s="6" t="s">
        <v>163</v>
      </c>
      <c r="B6" s="6" t="s">
        <v>48</v>
      </c>
      <c r="C6" s="7" t="s">
        <v>49</v>
      </c>
      <c r="D6" s="6" t="s">
        <v>50</v>
      </c>
      <c r="E6" s="7" t="s">
        <v>164</v>
      </c>
      <c r="F6" s="7" t="s">
        <v>165</v>
      </c>
      <c r="G6" s="4" t="s">
        <v>166</v>
      </c>
      <c r="H6" s="4" t="s">
        <v>167</v>
      </c>
      <c r="I6" s="4" t="s">
        <v>168</v>
      </c>
      <c r="J6" s="4" t="s">
        <v>169</v>
      </c>
      <c r="K6" s="4" t="s">
        <v>170</v>
      </c>
      <c r="L6" s="4" t="s">
        <v>171</v>
      </c>
      <c r="M6" s="2">
        <v>2</v>
      </c>
      <c r="N6" s="9" t="s">
        <v>172</v>
      </c>
      <c r="O6" s="4" t="s">
        <v>173</v>
      </c>
      <c r="P6" s="4" t="s">
        <v>174</v>
      </c>
    </row>
    <row r="7" spans="1:16" ht="46.35">
      <c r="A7" s="6" t="s">
        <v>175</v>
      </c>
      <c r="B7" s="6" t="s">
        <v>48</v>
      </c>
      <c r="C7" s="7" t="s">
        <v>49</v>
      </c>
      <c r="D7" s="6" t="s">
        <v>50</v>
      </c>
      <c r="E7" s="7" t="s">
        <v>143</v>
      </c>
      <c r="F7" s="7" t="s">
        <v>176</v>
      </c>
      <c r="G7" s="4" t="s">
        <v>177</v>
      </c>
      <c r="H7" s="4" t="s">
        <v>178</v>
      </c>
      <c r="I7" s="4" t="s">
        <v>179</v>
      </c>
      <c r="J7" s="4" t="s">
        <v>180</v>
      </c>
      <c r="K7" s="4" t="s">
        <v>181</v>
      </c>
      <c r="L7" s="4" t="s">
        <v>182</v>
      </c>
      <c r="M7" s="2">
        <v>3</v>
      </c>
      <c r="N7" s="9" t="s">
        <v>172</v>
      </c>
      <c r="O7" s="4" t="s">
        <v>183</v>
      </c>
      <c r="P7" s="4" t="s">
        <v>174</v>
      </c>
    </row>
    <row r="8" spans="1:16" ht="35.1">
      <c r="A8" s="6" t="s">
        <v>184</v>
      </c>
      <c r="B8" s="6" t="s">
        <v>48</v>
      </c>
      <c r="C8" s="7" t="s">
        <v>49</v>
      </c>
      <c r="D8" s="6" t="s">
        <v>50</v>
      </c>
      <c r="E8" s="7" t="s">
        <v>143</v>
      </c>
      <c r="F8" s="7" t="s">
        <v>185</v>
      </c>
      <c r="G8" s="4" t="s">
        <v>186</v>
      </c>
      <c r="H8" s="4" t="s">
        <v>187</v>
      </c>
      <c r="I8" s="4" t="s">
        <v>188</v>
      </c>
      <c r="J8" s="4" t="s">
        <v>189</v>
      </c>
      <c r="K8" s="4" t="s">
        <v>190</v>
      </c>
      <c r="L8" s="4" t="s">
        <v>191</v>
      </c>
      <c r="M8" s="2">
        <v>3</v>
      </c>
      <c r="N8" s="9" t="s">
        <v>172</v>
      </c>
      <c r="O8" s="4" t="s">
        <v>192</v>
      </c>
      <c r="P8" s="4" t="s">
        <v>174</v>
      </c>
    </row>
    <row r="9" spans="1:16" ht="35.1">
      <c r="A9" s="6" t="s">
        <v>193</v>
      </c>
      <c r="B9" s="6" t="s">
        <v>48</v>
      </c>
      <c r="C9" s="7" t="s">
        <v>49</v>
      </c>
      <c r="D9" s="6" t="s">
        <v>50</v>
      </c>
      <c r="E9" s="7" t="s">
        <v>143</v>
      </c>
      <c r="F9" s="7" t="s">
        <v>194</v>
      </c>
      <c r="G9" s="4" t="s">
        <v>195</v>
      </c>
      <c r="H9" s="4" t="s">
        <v>196</v>
      </c>
      <c r="I9" s="4" t="s">
        <v>197</v>
      </c>
      <c r="J9" s="4" t="s">
        <v>198</v>
      </c>
      <c r="K9" s="4" t="s">
        <v>199</v>
      </c>
      <c r="L9" s="4" t="s">
        <v>200</v>
      </c>
      <c r="M9" s="2">
        <v>1</v>
      </c>
      <c r="N9" s="9" t="s">
        <v>172</v>
      </c>
      <c r="O9" s="4" t="s">
        <v>201</v>
      </c>
      <c r="P9" s="4" t="s">
        <v>174</v>
      </c>
    </row>
    <row r="10" spans="1:16" ht="35.1">
      <c r="A10" s="6" t="s">
        <v>202</v>
      </c>
      <c r="B10" s="6" t="s">
        <v>48</v>
      </c>
      <c r="C10" s="7" t="s">
        <v>49</v>
      </c>
      <c r="D10" s="6" t="s">
        <v>50</v>
      </c>
      <c r="E10" s="7" t="s">
        <v>203</v>
      </c>
      <c r="F10" s="7" t="s">
        <v>204</v>
      </c>
      <c r="G10" s="4" t="s">
        <v>205</v>
      </c>
      <c r="H10" s="4" t="s">
        <v>206</v>
      </c>
      <c r="I10" s="4" t="s">
        <v>207</v>
      </c>
      <c r="J10" s="4" t="s">
        <v>208</v>
      </c>
      <c r="K10" s="4" t="s">
        <v>209</v>
      </c>
      <c r="L10" s="4" t="s">
        <v>210</v>
      </c>
      <c r="M10" s="2">
        <v>3</v>
      </c>
      <c r="N10" s="9" t="s">
        <v>151</v>
      </c>
      <c r="O10" s="4" t="s">
        <v>211</v>
      </c>
      <c r="P10" s="4" t="s">
        <v>174</v>
      </c>
    </row>
    <row r="11" spans="1:16" ht="35.1">
      <c r="A11" s="6" t="s">
        <v>212</v>
      </c>
      <c r="B11" s="6" t="s">
        <v>48</v>
      </c>
      <c r="C11" s="7" t="s">
        <v>49</v>
      </c>
      <c r="D11" s="6" t="s">
        <v>50</v>
      </c>
      <c r="E11" s="7" t="s">
        <v>203</v>
      </c>
      <c r="F11" s="7" t="s">
        <v>213</v>
      </c>
      <c r="G11" s="4" t="s">
        <v>214</v>
      </c>
      <c r="H11" s="4" t="s">
        <v>215</v>
      </c>
      <c r="I11" s="4" t="s">
        <v>216</v>
      </c>
      <c r="J11" s="4" t="s">
        <v>217</v>
      </c>
      <c r="K11" s="4" t="s">
        <v>218</v>
      </c>
      <c r="L11" s="4" t="s">
        <v>219</v>
      </c>
      <c r="M11" s="2">
        <v>2</v>
      </c>
      <c r="N11" s="9" t="s">
        <v>151</v>
      </c>
      <c r="O11" s="4" t="s">
        <v>220</v>
      </c>
      <c r="P11" s="4" t="s">
        <v>174</v>
      </c>
    </row>
    <row r="12" spans="1:16" ht="35.1">
      <c r="A12" s="6" t="s">
        <v>221</v>
      </c>
      <c r="B12" s="6" t="s">
        <v>48</v>
      </c>
      <c r="C12" s="7" t="s">
        <v>49</v>
      </c>
      <c r="D12" s="6" t="s">
        <v>50</v>
      </c>
      <c r="E12" s="7" t="s">
        <v>164</v>
      </c>
      <c r="F12" s="7" t="s">
        <v>222</v>
      </c>
      <c r="G12" s="4" t="s">
        <v>223</v>
      </c>
      <c r="H12" s="4" t="s">
        <v>224</v>
      </c>
      <c r="I12" s="4" t="s">
        <v>225</v>
      </c>
      <c r="J12" s="4" t="s">
        <v>226</v>
      </c>
      <c r="K12" s="4" t="s">
        <v>227</v>
      </c>
      <c r="L12" s="4" t="s">
        <v>228</v>
      </c>
      <c r="M12" s="2">
        <v>2</v>
      </c>
      <c r="N12" s="9" t="s">
        <v>172</v>
      </c>
      <c r="O12" s="4" t="s">
        <v>229</v>
      </c>
      <c r="P12" s="4" t="s">
        <v>230</v>
      </c>
    </row>
    <row r="13" spans="1:16" ht="35.1">
      <c r="A13" s="6" t="s">
        <v>231</v>
      </c>
      <c r="B13" s="6" t="s">
        <v>48</v>
      </c>
      <c r="C13" s="7" t="s">
        <v>49</v>
      </c>
      <c r="D13" s="6" t="s">
        <v>50</v>
      </c>
      <c r="E13" s="7" t="s">
        <v>232</v>
      </c>
      <c r="F13" s="7" t="s">
        <v>233</v>
      </c>
      <c r="G13" s="4" t="s">
        <v>234</v>
      </c>
      <c r="H13" s="4" t="s">
        <v>235</v>
      </c>
      <c r="I13" s="4" t="s">
        <v>236</v>
      </c>
      <c r="J13" s="4" t="s">
        <v>237</v>
      </c>
      <c r="K13" s="4" t="s">
        <v>238</v>
      </c>
      <c r="L13" s="4" t="s">
        <v>239</v>
      </c>
      <c r="M13" s="2">
        <v>2</v>
      </c>
      <c r="N13" s="9" t="s">
        <v>172</v>
      </c>
      <c r="O13" s="4" t="s">
        <v>240</v>
      </c>
      <c r="P13" s="4" t="s">
        <v>230</v>
      </c>
    </row>
    <row r="14" spans="1:16" ht="35.1">
      <c r="A14" s="6" t="s">
        <v>241</v>
      </c>
      <c r="B14" s="6" t="s">
        <v>48</v>
      </c>
      <c r="C14" s="7" t="s">
        <v>49</v>
      </c>
      <c r="D14" s="6" t="s">
        <v>50</v>
      </c>
      <c r="E14" s="7" t="s">
        <v>232</v>
      </c>
      <c r="F14" s="7" t="s">
        <v>242</v>
      </c>
      <c r="G14" s="4" t="s">
        <v>243</v>
      </c>
      <c r="H14" s="4" t="s">
        <v>244</v>
      </c>
      <c r="I14" s="4" t="s">
        <v>245</v>
      </c>
      <c r="J14" s="4" t="s">
        <v>246</v>
      </c>
      <c r="K14" s="4" t="s">
        <v>247</v>
      </c>
      <c r="L14" s="4" t="s">
        <v>248</v>
      </c>
      <c r="M14" s="2">
        <v>2</v>
      </c>
      <c r="N14" s="9" t="s">
        <v>172</v>
      </c>
      <c r="O14" s="4" t="s">
        <v>249</v>
      </c>
      <c r="P14" s="4" t="s">
        <v>153</v>
      </c>
    </row>
    <row r="15" spans="1:16" ht="35.1">
      <c r="A15" s="6" t="s">
        <v>250</v>
      </c>
      <c r="B15" s="6" t="s">
        <v>48</v>
      </c>
      <c r="C15" s="7" t="s">
        <v>49</v>
      </c>
      <c r="D15" s="6" t="s">
        <v>50</v>
      </c>
      <c r="E15" s="7" t="s">
        <v>143</v>
      </c>
      <c r="F15" s="7" t="s">
        <v>251</v>
      </c>
      <c r="G15" s="4" t="s">
        <v>252</v>
      </c>
      <c r="H15" s="4" t="s">
        <v>253</v>
      </c>
      <c r="I15" s="4" t="s">
        <v>254</v>
      </c>
      <c r="J15" s="4" t="s">
        <v>255</v>
      </c>
      <c r="K15" s="4" t="s">
        <v>256</v>
      </c>
      <c r="L15" s="4" t="s">
        <v>257</v>
      </c>
      <c r="M15" s="2">
        <v>1</v>
      </c>
      <c r="N15" s="9" t="s">
        <v>151</v>
      </c>
      <c r="O15" s="4" t="s">
        <v>258</v>
      </c>
      <c r="P15" s="4" t="s">
        <v>153</v>
      </c>
    </row>
    <row r="16" spans="1:16" ht="46.35">
      <c r="A16" s="6" t="s">
        <v>259</v>
      </c>
      <c r="B16" s="6" t="s">
        <v>56</v>
      </c>
      <c r="C16" s="7" t="s">
        <v>57</v>
      </c>
      <c r="D16" s="6" t="s">
        <v>50</v>
      </c>
      <c r="E16" s="7" t="s">
        <v>260</v>
      </c>
      <c r="F16" s="7" t="s">
        <v>261</v>
      </c>
      <c r="G16" s="4" t="s">
        <v>262</v>
      </c>
      <c r="H16" s="4" t="s">
        <v>263</v>
      </c>
      <c r="I16" s="4" t="s">
        <v>264</v>
      </c>
      <c r="J16" s="4" t="s">
        <v>265</v>
      </c>
      <c r="K16" s="4" t="s">
        <v>266</v>
      </c>
      <c r="L16" s="4" t="s">
        <v>267</v>
      </c>
      <c r="M16" s="2">
        <v>3</v>
      </c>
      <c r="N16" s="9" t="s">
        <v>151</v>
      </c>
      <c r="O16" s="4" t="s">
        <v>268</v>
      </c>
      <c r="P16" s="4" t="s">
        <v>153</v>
      </c>
    </row>
    <row r="17" spans="1:16" ht="35.1">
      <c r="A17" s="6" t="s">
        <v>269</v>
      </c>
      <c r="B17" s="6" t="s">
        <v>56</v>
      </c>
      <c r="C17" s="7" t="s">
        <v>57</v>
      </c>
      <c r="D17" s="6" t="s">
        <v>50</v>
      </c>
      <c r="E17" s="7" t="s">
        <v>260</v>
      </c>
      <c r="F17" s="7" t="s">
        <v>270</v>
      </c>
      <c r="G17" s="4" t="s">
        <v>271</v>
      </c>
      <c r="H17" s="4" t="s">
        <v>272</v>
      </c>
      <c r="I17" s="4" t="s">
        <v>158</v>
      </c>
      <c r="J17" s="4" t="s">
        <v>273</v>
      </c>
      <c r="K17" s="4" t="s">
        <v>274</v>
      </c>
      <c r="L17" s="4" t="s">
        <v>275</v>
      </c>
      <c r="M17" s="2">
        <v>3</v>
      </c>
      <c r="N17" s="9" t="s">
        <v>151</v>
      </c>
      <c r="O17" s="4" t="s">
        <v>276</v>
      </c>
      <c r="P17" s="4" t="s">
        <v>153</v>
      </c>
    </row>
    <row r="18" spans="1:16" ht="23.85">
      <c r="A18" s="6" t="s">
        <v>277</v>
      </c>
      <c r="B18" s="6" t="s">
        <v>56</v>
      </c>
      <c r="C18" s="7" t="s">
        <v>57</v>
      </c>
      <c r="D18" s="6" t="s">
        <v>50</v>
      </c>
      <c r="E18" s="7" t="s">
        <v>278</v>
      </c>
      <c r="F18" s="7" t="s">
        <v>279</v>
      </c>
      <c r="G18" s="4" t="s">
        <v>280</v>
      </c>
      <c r="H18" s="4" t="s">
        <v>281</v>
      </c>
      <c r="I18" s="4" t="s">
        <v>282</v>
      </c>
      <c r="J18" s="4" t="s">
        <v>283</v>
      </c>
      <c r="K18" s="4" t="s">
        <v>284</v>
      </c>
      <c r="L18" s="4" t="s">
        <v>285</v>
      </c>
      <c r="M18" s="2">
        <v>2</v>
      </c>
      <c r="N18" s="9" t="s">
        <v>151</v>
      </c>
      <c r="O18" s="4" t="s">
        <v>286</v>
      </c>
      <c r="P18" s="4" t="s">
        <v>153</v>
      </c>
    </row>
    <row r="19" spans="1:16" ht="35.1">
      <c r="A19" s="6" t="s">
        <v>287</v>
      </c>
      <c r="B19" s="6" t="s">
        <v>56</v>
      </c>
      <c r="C19" s="7" t="s">
        <v>57</v>
      </c>
      <c r="D19" s="6" t="s">
        <v>50</v>
      </c>
      <c r="E19" s="7" t="s">
        <v>278</v>
      </c>
      <c r="F19" s="7" t="s">
        <v>288</v>
      </c>
      <c r="G19" s="4" t="s">
        <v>289</v>
      </c>
      <c r="H19" s="4" t="s">
        <v>290</v>
      </c>
      <c r="I19" s="4" t="s">
        <v>291</v>
      </c>
      <c r="J19" s="4" t="s">
        <v>292</v>
      </c>
      <c r="K19" s="4" t="s">
        <v>293</v>
      </c>
      <c r="L19" s="4" t="s">
        <v>294</v>
      </c>
      <c r="M19" s="2">
        <v>2</v>
      </c>
      <c r="N19" s="9" t="s">
        <v>151</v>
      </c>
      <c r="O19" s="4" t="s">
        <v>295</v>
      </c>
      <c r="P19" s="4" t="s">
        <v>153</v>
      </c>
    </row>
    <row r="20" spans="1:16" ht="23.85">
      <c r="A20" s="6" t="s">
        <v>296</v>
      </c>
      <c r="B20" s="6" t="s">
        <v>56</v>
      </c>
      <c r="C20" s="7" t="s">
        <v>57</v>
      </c>
      <c r="D20" s="6" t="s">
        <v>50</v>
      </c>
      <c r="E20" s="7" t="s">
        <v>297</v>
      </c>
      <c r="F20" s="7" t="s">
        <v>298</v>
      </c>
      <c r="G20" s="4" t="s">
        <v>299</v>
      </c>
      <c r="H20" s="4" t="s">
        <v>300</v>
      </c>
      <c r="I20" s="4" t="s">
        <v>301</v>
      </c>
      <c r="J20" s="4" t="s">
        <v>302</v>
      </c>
      <c r="K20" s="4" t="s">
        <v>303</v>
      </c>
      <c r="L20" s="4" t="s">
        <v>304</v>
      </c>
      <c r="M20" s="2">
        <v>1</v>
      </c>
      <c r="N20" s="9" t="s">
        <v>151</v>
      </c>
      <c r="O20" s="4" t="s">
        <v>305</v>
      </c>
      <c r="P20" s="4" t="s">
        <v>153</v>
      </c>
    </row>
    <row r="21" spans="1:16" ht="90.95">
      <c r="A21" s="6" t="s">
        <v>306</v>
      </c>
      <c r="B21" s="6" t="s">
        <v>56</v>
      </c>
      <c r="C21" s="7" t="s">
        <v>57</v>
      </c>
      <c r="D21" s="6" t="s">
        <v>50</v>
      </c>
      <c r="E21" s="7" t="s">
        <v>307</v>
      </c>
      <c r="F21" s="7" t="s">
        <v>308</v>
      </c>
      <c r="G21" s="4" t="s">
        <v>309</v>
      </c>
      <c r="H21" s="4" t="s">
        <v>310</v>
      </c>
      <c r="I21" s="4" t="s">
        <v>216</v>
      </c>
      <c r="J21" s="4" t="s">
        <v>311</v>
      </c>
      <c r="K21" s="4" t="s">
        <v>312</v>
      </c>
      <c r="L21" s="4" t="s">
        <v>313</v>
      </c>
      <c r="M21" s="2">
        <v>3</v>
      </c>
      <c r="N21" s="9" t="s">
        <v>151</v>
      </c>
      <c r="O21" s="4" t="s">
        <v>314</v>
      </c>
      <c r="P21" s="4" t="s">
        <v>153</v>
      </c>
    </row>
    <row r="22" spans="1:16" ht="23.85">
      <c r="A22" s="6" t="s">
        <v>315</v>
      </c>
      <c r="B22" s="6" t="s">
        <v>56</v>
      </c>
      <c r="C22" s="7" t="s">
        <v>57</v>
      </c>
      <c r="D22" s="6" t="s">
        <v>50</v>
      </c>
      <c r="E22" s="7" t="s">
        <v>307</v>
      </c>
      <c r="F22" s="7" t="s">
        <v>316</v>
      </c>
      <c r="G22" s="4" t="s">
        <v>317</v>
      </c>
      <c r="H22" s="4" t="s">
        <v>318</v>
      </c>
      <c r="I22" s="4" t="s">
        <v>216</v>
      </c>
      <c r="J22" s="4" t="s">
        <v>311</v>
      </c>
      <c r="K22" s="4" t="s">
        <v>319</v>
      </c>
      <c r="L22" s="4" t="s">
        <v>320</v>
      </c>
      <c r="M22" s="2">
        <v>2</v>
      </c>
      <c r="N22" s="9" t="s">
        <v>172</v>
      </c>
      <c r="O22" s="4" t="s">
        <v>321</v>
      </c>
      <c r="P22" s="4" t="s">
        <v>153</v>
      </c>
    </row>
    <row r="23" spans="1:16" ht="46.35">
      <c r="A23" s="6" t="s">
        <v>322</v>
      </c>
      <c r="B23" s="6" t="s">
        <v>56</v>
      </c>
      <c r="C23" s="7" t="s">
        <v>57</v>
      </c>
      <c r="D23" s="6" t="s">
        <v>50</v>
      </c>
      <c r="E23" s="7" t="s">
        <v>260</v>
      </c>
      <c r="F23" s="7" t="s">
        <v>323</v>
      </c>
      <c r="G23" s="4" t="s">
        <v>324</v>
      </c>
      <c r="H23" s="4" t="s">
        <v>325</v>
      </c>
      <c r="I23" s="4" t="s">
        <v>216</v>
      </c>
      <c r="J23" s="4" t="s">
        <v>326</v>
      </c>
      <c r="K23" s="4" t="s">
        <v>327</v>
      </c>
      <c r="L23" s="4" t="s">
        <v>328</v>
      </c>
      <c r="M23" s="2">
        <v>2</v>
      </c>
      <c r="N23" s="9" t="s">
        <v>151</v>
      </c>
      <c r="O23" s="4" t="s">
        <v>329</v>
      </c>
      <c r="P23" s="4" t="s">
        <v>174</v>
      </c>
    </row>
    <row r="24" spans="1:16" ht="23.85">
      <c r="A24" s="6" t="s">
        <v>330</v>
      </c>
      <c r="B24" s="6" t="s">
        <v>56</v>
      </c>
      <c r="C24" s="7" t="s">
        <v>57</v>
      </c>
      <c r="D24" s="6" t="s">
        <v>50</v>
      </c>
      <c r="E24" s="7" t="s">
        <v>278</v>
      </c>
      <c r="F24" s="7" t="s">
        <v>331</v>
      </c>
      <c r="G24" s="4" t="s">
        <v>332</v>
      </c>
      <c r="H24" s="4" t="s">
        <v>333</v>
      </c>
      <c r="I24" s="4" t="s">
        <v>216</v>
      </c>
      <c r="J24" s="4" t="s">
        <v>334</v>
      </c>
      <c r="K24" s="4" t="s">
        <v>335</v>
      </c>
      <c r="L24" s="4" t="s">
        <v>336</v>
      </c>
      <c r="M24" s="2">
        <v>2</v>
      </c>
      <c r="N24" s="9" t="s">
        <v>172</v>
      </c>
      <c r="O24" s="4" t="s">
        <v>337</v>
      </c>
      <c r="P24" s="4" t="s">
        <v>153</v>
      </c>
    </row>
    <row r="25" spans="1:16" ht="35.1">
      <c r="A25" s="6" t="s">
        <v>338</v>
      </c>
      <c r="B25" s="6" t="s">
        <v>56</v>
      </c>
      <c r="C25" s="7" t="s">
        <v>57</v>
      </c>
      <c r="D25" s="6" t="s">
        <v>50</v>
      </c>
      <c r="E25" s="7" t="s">
        <v>278</v>
      </c>
      <c r="F25" s="7" t="s">
        <v>339</v>
      </c>
      <c r="G25" s="4" t="s">
        <v>340</v>
      </c>
      <c r="H25" s="4" t="s">
        <v>341</v>
      </c>
      <c r="I25" s="4" t="s">
        <v>342</v>
      </c>
      <c r="J25" s="4" t="s">
        <v>343</v>
      </c>
      <c r="K25" s="4" t="s">
        <v>344</v>
      </c>
      <c r="L25" s="4" t="s">
        <v>345</v>
      </c>
      <c r="M25" s="2">
        <v>1</v>
      </c>
      <c r="N25" s="9" t="s">
        <v>151</v>
      </c>
      <c r="O25" s="4" t="s">
        <v>346</v>
      </c>
      <c r="P25" s="4" t="s">
        <v>230</v>
      </c>
    </row>
    <row r="26" spans="1:16" ht="46.35">
      <c r="A26" s="6" t="s">
        <v>347</v>
      </c>
      <c r="B26" s="6" t="s">
        <v>56</v>
      </c>
      <c r="C26" s="7" t="s">
        <v>57</v>
      </c>
      <c r="D26" s="6" t="s">
        <v>50</v>
      </c>
      <c r="E26" s="7" t="s">
        <v>297</v>
      </c>
      <c r="F26" s="7" t="s">
        <v>348</v>
      </c>
      <c r="G26" s="4" t="s">
        <v>349</v>
      </c>
      <c r="H26" s="4" t="s">
        <v>350</v>
      </c>
      <c r="I26" s="4" t="s">
        <v>351</v>
      </c>
      <c r="J26" s="4" t="s">
        <v>352</v>
      </c>
      <c r="K26" s="4" t="s">
        <v>353</v>
      </c>
      <c r="L26" s="4" t="s">
        <v>354</v>
      </c>
      <c r="M26" s="2">
        <v>1</v>
      </c>
      <c r="N26" s="9" t="s">
        <v>172</v>
      </c>
      <c r="O26" s="4" t="s">
        <v>355</v>
      </c>
      <c r="P26" s="4" t="s">
        <v>153</v>
      </c>
    </row>
    <row r="27" spans="1:16" ht="23.85">
      <c r="A27" s="6" t="s">
        <v>356</v>
      </c>
      <c r="B27" s="6" t="s">
        <v>56</v>
      </c>
      <c r="C27" s="7" t="s">
        <v>57</v>
      </c>
      <c r="D27" s="6" t="s">
        <v>50</v>
      </c>
      <c r="E27" s="7" t="s">
        <v>297</v>
      </c>
      <c r="F27" s="7" t="s">
        <v>357</v>
      </c>
      <c r="G27" s="4" t="s">
        <v>358</v>
      </c>
      <c r="H27" s="4" t="s">
        <v>359</v>
      </c>
      <c r="I27" s="4" t="s">
        <v>360</v>
      </c>
      <c r="J27" s="4" t="s">
        <v>361</v>
      </c>
      <c r="K27" s="4" t="s">
        <v>362</v>
      </c>
      <c r="L27" s="4" t="s">
        <v>363</v>
      </c>
      <c r="M27" s="2">
        <v>1</v>
      </c>
      <c r="N27" s="9" t="s">
        <v>151</v>
      </c>
      <c r="O27" s="4" t="s">
        <v>364</v>
      </c>
      <c r="P27" s="4" t="s">
        <v>230</v>
      </c>
    </row>
    <row r="28" spans="1:16" ht="23.85">
      <c r="A28" s="6" t="s">
        <v>365</v>
      </c>
      <c r="B28" s="6" t="s">
        <v>63</v>
      </c>
      <c r="C28" s="7" t="s">
        <v>64</v>
      </c>
      <c r="D28" s="6" t="s">
        <v>50</v>
      </c>
      <c r="E28" s="7" t="s">
        <v>366</v>
      </c>
      <c r="F28" s="7" t="s">
        <v>367</v>
      </c>
      <c r="G28" s="4" t="s">
        <v>368</v>
      </c>
      <c r="H28" s="4" t="s">
        <v>369</v>
      </c>
      <c r="I28" s="4" t="s">
        <v>245</v>
      </c>
      <c r="J28" s="4" t="s">
        <v>370</v>
      </c>
      <c r="K28" s="4" t="s">
        <v>371</v>
      </c>
      <c r="L28" s="4" t="s">
        <v>372</v>
      </c>
      <c r="M28" s="2">
        <v>3</v>
      </c>
      <c r="N28" s="9" t="s">
        <v>151</v>
      </c>
      <c r="O28" s="4" t="s">
        <v>373</v>
      </c>
      <c r="P28" s="4" t="s">
        <v>174</v>
      </c>
    </row>
    <row r="29" spans="1:16" ht="35.1">
      <c r="A29" s="6" t="s">
        <v>374</v>
      </c>
      <c r="B29" s="6" t="s">
        <v>63</v>
      </c>
      <c r="C29" s="7" t="s">
        <v>64</v>
      </c>
      <c r="D29" s="6" t="s">
        <v>50</v>
      </c>
      <c r="E29" s="7" t="s">
        <v>366</v>
      </c>
      <c r="F29" s="7" t="s">
        <v>375</v>
      </c>
      <c r="G29" s="4" t="s">
        <v>376</v>
      </c>
      <c r="H29" s="4" t="s">
        <v>377</v>
      </c>
      <c r="I29" s="4" t="s">
        <v>378</v>
      </c>
      <c r="J29" s="4" t="s">
        <v>379</v>
      </c>
      <c r="K29" s="4" t="s">
        <v>380</v>
      </c>
      <c r="L29" s="4" t="s">
        <v>381</v>
      </c>
      <c r="M29" s="2">
        <v>2</v>
      </c>
      <c r="N29" s="9" t="s">
        <v>151</v>
      </c>
      <c r="O29" s="4" t="s">
        <v>382</v>
      </c>
      <c r="P29" s="4" t="s">
        <v>174</v>
      </c>
    </row>
    <row r="30" spans="1:16" ht="23.85">
      <c r="A30" s="6" t="s">
        <v>383</v>
      </c>
      <c r="B30" s="6" t="s">
        <v>63</v>
      </c>
      <c r="C30" s="7" t="s">
        <v>64</v>
      </c>
      <c r="D30" s="6" t="s">
        <v>50</v>
      </c>
      <c r="E30" s="7" t="s">
        <v>384</v>
      </c>
      <c r="F30" s="7" t="s">
        <v>385</v>
      </c>
      <c r="G30" s="4" t="s">
        <v>386</v>
      </c>
      <c r="H30" s="4" t="s">
        <v>387</v>
      </c>
      <c r="I30" s="4" t="s">
        <v>216</v>
      </c>
      <c r="J30" s="4" t="s">
        <v>326</v>
      </c>
      <c r="K30" s="4" t="s">
        <v>388</v>
      </c>
      <c r="L30" s="4" t="s">
        <v>389</v>
      </c>
      <c r="M30" s="2">
        <v>3</v>
      </c>
      <c r="N30" s="9" t="s">
        <v>151</v>
      </c>
      <c r="O30" s="4" t="s">
        <v>390</v>
      </c>
      <c r="P30" s="4" t="s">
        <v>174</v>
      </c>
    </row>
    <row r="31" spans="1:16" ht="35.1">
      <c r="A31" s="6" t="s">
        <v>391</v>
      </c>
      <c r="B31" s="6" t="s">
        <v>63</v>
      </c>
      <c r="C31" s="7" t="s">
        <v>64</v>
      </c>
      <c r="D31" s="6" t="s">
        <v>50</v>
      </c>
      <c r="E31" s="7" t="s">
        <v>392</v>
      </c>
      <c r="F31" s="7" t="s">
        <v>393</v>
      </c>
      <c r="G31" s="4" t="s">
        <v>394</v>
      </c>
      <c r="H31" s="4" t="s">
        <v>395</v>
      </c>
      <c r="I31" s="4" t="s">
        <v>216</v>
      </c>
      <c r="J31" s="4" t="s">
        <v>396</v>
      </c>
      <c r="K31" s="4" t="s">
        <v>397</v>
      </c>
      <c r="L31" s="4" t="s">
        <v>398</v>
      </c>
      <c r="M31" s="2">
        <v>2</v>
      </c>
      <c r="N31" s="9" t="s">
        <v>151</v>
      </c>
      <c r="O31" s="4" t="s">
        <v>399</v>
      </c>
      <c r="P31" s="4" t="s">
        <v>174</v>
      </c>
    </row>
    <row r="32" spans="1:16" ht="35.1">
      <c r="A32" s="6" t="s">
        <v>400</v>
      </c>
      <c r="B32" s="6" t="s">
        <v>63</v>
      </c>
      <c r="C32" s="7" t="s">
        <v>64</v>
      </c>
      <c r="D32" s="6" t="s">
        <v>50</v>
      </c>
      <c r="E32" s="7" t="s">
        <v>392</v>
      </c>
      <c r="F32" s="7" t="s">
        <v>401</v>
      </c>
      <c r="G32" s="4" t="s">
        <v>402</v>
      </c>
      <c r="H32" s="4" t="s">
        <v>403</v>
      </c>
      <c r="I32" s="4" t="s">
        <v>404</v>
      </c>
      <c r="J32" s="4" t="s">
        <v>405</v>
      </c>
      <c r="K32" s="4" t="s">
        <v>406</v>
      </c>
      <c r="L32" s="4" t="s">
        <v>407</v>
      </c>
      <c r="M32" s="2">
        <v>3</v>
      </c>
      <c r="N32" s="9" t="s">
        <v>151</v>
      </c>
      <c r="O32" s="4" t="s">
        <v>408</v>
      </c>
      <c r="P32" s="4" t="s">
        <v>174</v>
      </c>
    </row>
    <row r="33" spans="1:16" ht="35.1">
      <c r="A33" s="6" t="s">
        <v>409</v>
      </c>
      <c r="B33" s="6" t="s">
        <v>63</v>
      </c>
      <c r="C33" s="7" t="s">
        <v>64</v>
      </c>
      <c r="D33" s="6" t="s">
        <v>50</v>
      </c>
      <c r="E33" s="7" t="s">
        <v>410</v>
      </c>
      <c r="F33" s="7" t="s">
        <v>411</v>
      </c>
      <c r="G33" s="4" t="s">
        <v>412</v>
      </c>
      <c r="H33" s="4" t="s">
        <v>413</v>
      </c>
      <c r="I33" s="4" t="s">
        <v>216</v>
      </c>
      <c r="J33" s="4" t="s">
        <v>414</v>
      </c>
      <c r="K33" s="4" t="s">
        <v>415</v>
      </c>
      <c r="L33" s="4" t="s">
        <v>416</v>
      </c>
      <c r="M33" s="2">
        <v>2</v>
      </c>
      <c r="N33" s="9" t="s">
        <v>151</v>
      </c>
      <c r="O33" s="4" t="s">
        <v>417</v>
      </c>
      <c r="P33" s="4" t="s">
        <v>174</v>
      </c>
    </row>
    <row r="34" spans="1:16" ht="35.1">
      <c r="A34" s="6" t="s">
        <v>418</v>
      </c>
      <c r="B34" s="6" t="s">
        <v>63</v>
      </c>
      <c r="C34" s="7" t="s">
        <v>64</v>
      </c>
      <c r="D34" s="6" t="s">
        <v>50</v>
      </c>
      <c r="E34" s="7" t="s">
        <v>419</v>
      </c>
      <c r="F34" s="7" t="s">
        <v>420</v>
      </c>
      <c r="G34" s="4" t="s">
        <v>421</v>
      </c>
      <c r="H34" s="4" t="s">
        <v>422</v>
      </c>
      <c r="I34" s="4" t="s">
        <v>216</v>
      </c>
      <c r="J34" s="4" t="s">
        <v>423</v>
      </c>
      <c r="K34" s="4" t="s">
        <v>424</v>
      </c>
      <c r="L34" s="4" t="s">
        <v>425</v>
      </c>
      <c r="M34" s="2">
        <v>3</v>
      </c>
      <c r="N34" s="9" t="s">
        <v>151</v>
      </c>
      <c r="O34" s="4" t="s">
        <v>426</v>
      </c>
      <c r="P34" s="4" t="s">
        <v>174</v>
      </c>
    </row>
    <row r="35" spans="1:16" ht="35.1">
      <c r="A35" s="6" t="s">
        <v>427</v>
      </c>
      <c r="B35" s="6" t="s">
        <v>63</v>
      </c>
      <c r="C35" s="7" t="s">
        <v>64</v>
      </c>
      <c r="D35" s="6" t="s">
        <v>50</v>
      </c>
      <c r="E35" s="7" t="s">
        <v>428</v>
      </c>
      <c r="F35" s="7" t="s">
        <v>429</v>
      </c>
      <c r="G35" s="4" t="s">
        <v>430</v>
      </c>
      <c r="H35" s="4" t="s">
        <v>431</v>
      </c>
      <c r="I35" s="4" t="s">
        <v>432</v>
      </c>
      <c r="J35" s="4" t="s">
        <v>433</v>
      </c>
      <c r="K35" s="4" t="s">
        <v>434</v>
      </c>
      <c r="L35" s="4" t="s">
        <v>435</v>
      </c>
      <c r="M35" s="2">
        <v>3</v>
      </c>
      <c r="N35" s="9" t="s">
        <v>151</v>
      </c>
      <c r="O35" s="4" t="s">
        <v>436</v>
      </c>
      <c r="P35" s="4" t="s">
        <v>153</v>
      </c>
    </row>
    <row r="36" spans="1:16" ht="35.1">
      <c r="A36" s="6" t="s">
        <v>437</v>
      </c>
      <c r="B36" s="6" t="s">
        <v>63</v>
      </c>
      <c r="C36" s="7" t="s">
        <v>64</v>
      </c>
      <c r="D36" s="6" t="s">
        <v>50</v>
      </c>
      <c r="E36" s="7" t="s">
        <v>428</v>
      </c>
      <c r="F36" s="7" t="s">
        <v>438</v>
      </c>
      <c r="G36" s="4" t="s">
        <v>439</v>
      </c>
      <c r="H36" s="4" t="s">
        <v>440</v>
      </c>
      <c r="I36" s="4" t="s">
        <v>441</v>
      </c>
      <c r="J36" s="4" t="s">
        <v>442</v>
      </c>
      <c r="K36" s="4" t="s">
        <v>443</v>
      </c>
      <c r="L36" s="4" t="s">
        <v>444</v>
      </c>
      <c r="M36" s="2">
        <v>2</v>
      </c>
      <c r="N36" s="9" t="s">
        <v>172</v>
      </c>
      <c r="O36" s="4" t="s">
        <v>445</v>
      </c>
      <c r="P36" s="4" t="s">
        <v>174</v>
      </c>
    </row>
    <row r="37" spans="1:16" ht="46.35">
      <c r="A37" s="6" t="s">
        <v>446</v>
      </c>
      <c r="B37" s="6" t="s">
        <v>63</v>
      </c>
      <c r="C37" s="7" t="s">
        <v>64</v>
      </c>
      <c r="D37" s="6" t="s">
        <v>50</v>
      </c>
      <c r="E37" s="7" t="s">
        <v>447</v>
      </c>
      <c r="F37" s="7" t="s">
        <v>448</v>
      </c>
      <c r="G37" s="4" t="s">
        <v>449</v>
      </c>
      <c r="H37" s="4" t="s">
        <v>450</v>
      </c>
      <c r="I37" s="4" t="s">
        <v>291</v>
      </c>
      <c r="J37" s="4" t="s">
        <v>451</v>
      </c>
      <c r="K37" s="4" t="s">
        <v>452</v>
      </c>
      <c r="L37" s="4" t="s">
        <v>453</v>
      </c>
      <c r="M37" s="2">
        <v>2</v>
      </c>
      <c r="N37" s="9" t="s">
        <v>151</v>
      </c>
      <c r="O37" s="4" t="s">
        <v>454</v>
      </c>
      <c r="P37" s="4" t="s">
        <v>174</v>
      </c>
    </row>
    <row r="38" spans="1:16" ht="23.85">
      <c r="A38" s="6" t="s">
        <v>455</v>
      </c>
      <c r="B38" s="6" t="s">
        <v>63</v>
      </c>
      <c r="C38" s="7" t="s">
        <v>64</v>
      </c>
      <c r="D38" s="6" t="s">
        <v>50</v>
      </c>
      <c r="E38" s="7" t="s">
        <v>392</v>
      </c>
      <c r="F38" s="7" t="s">
        <v>456</v>
      </c>
      <c r="G38" s="4" t="s">
        <v>457</v>
      </c>
      <c r="H38" s="4" t="s">
        <v>458</v>
      </c>
      <c r="I38" s="4" t="s">
        <v>342</v>
      </c>
      <c r="J38" s="4" t="s">
        <v>459</v>
      </c>
      <c r="K38" s="4" t="s">
        <v>460</v>
      </c>
      <c r="L38" s="4" t="s">
        <v>461</v>
      </c>
      <c r="M38" s="2">
        <v>2</v>
      </c>
      <c r="N38" s="9" t="s">
        <v>151</v>
      </c>
      <c r="O38" s="4" t="s">
        <v>462</v>
      </c>
      <c r="P38" s="4" t="s">
        <v>174</v>
      </c>
    </row>
    <row r="39" spans="1:16" ht="23.85">
      <c r="A39" s="6" t="s">
        <v>463</v>
      </c>
      <c r="B39" s="6" t="s">
        <v>63</v>
      </c>
      <c r="C39" s="7" t="s">
        <v>64</v>
      </c>
      <c r="D39" s="6" t="s">
        <v>50</v>
      </c>
      <c r="E39" s="7" t="s">
        <v>419</v>
      </c>
      <c r="F39" s="7" t="s">
        <v>464</v>
      </c>
      <c r="G39" s="4" t="s">
        <v>465</v>
      </c>
      <c r="H39" s="4" t="s">
        <v>466</v>
      </c>
      <c r="I39" s="4" t="s">
        <v>216</v>
      </c>
      <c r="J39" s="4" t="s">
        <v>467</v>
      </c>
      <c r="K39" s="4" t="s">
        <v>468</v>
      </c>
      <c r="L39" s="4" t="s">
        <v>469</v>
      </c>
      <c r="M39" s="2">
        <v>1</v>
      </c>
      <c r="N39" s="9" t="s">
        <v>151</v>
      </c>
      <c r="O39" s="4" t="s">
        <v>470</v>
      </c>
      <c r="P39" s="4" t="s">
        <v>174</v>
      </c>
    </row>
    <row r="40" spans="1:16" ht="23.85">
      <c r="A40" s="6" t="s">
        <v>471</v>
      </c>
      <c r="B40" s="6" t="s">
        <v>63</v>
      </c>
      <c r="C40" s="7" t="s">
        <v>64</v>
      </c>
      <c r="D40" s="6" t="s">
        <v>50</v>
      </c>
      <c r="E40" s="7" t="s">
        <v>428</v>
      </c>
      <c r="F40" s="7" t="s">
        <v>472</v>
      </c>
      <c r="G40" s="4" t="s">
        <v>473</v>
      </c>
      <c r="H40" s="4" t="s">
        <v>474</v>
      </c>
      <c r="I40" s="4" t="s">
        <v>404</v>
      </c>
      <c r="J40" s="4" t="s">
        <v>475</v>
      </c>
      <c r="K40" s="4" t="s">
        <v>476</v>
      </c>
      <c r="L40" s="4" t="s">
        <v>477</v>
      </c>
      <c r="M40" s="2">
        <v>2</v>
      </c>
      <c r="N40" s="9" t="s">
        <v>151</v>
      </c>
      <c r="O40" s="4" t="s">
        <v>478</v>
      </c>
      <c r="P40" s="4" t="s">
        <v>230</v>
      </c>
    </row>
    <row r="41" spans="1:16" ht="23.85">
      <c r="A41" s="6" t="s">
        <v>479</v>
      </c>
      <c r="B41" s="6" t="s">
        <v>63</v>
      </c>
      <c r="C41" s="7" t="s">
        <v>64</v>
      </c>
      <c r="D41" s="6" t="s">
        <v>50</v>
      </c>
      <c r="E41" s="7" t="s">
        <v>428</v>
      </c>
      <c r="F41" s="7" t="s">
        <v>480</v>
      </c>
      <c r="G41" s="4" t="s">
        <v>481</v>
      </c>
      <c r="H41" s="4" t="s">
        <v>482</v>
      </c>
      <c r="I41" s="4" t="s">
        <v>360</v>
      </c>
      <c r="J41" s="4" t="s">
        <v>483</v>
      </c>
      <c r="K41" s="4" t="s">
        <v>484</v>
      </c>
      <c r="L41" s="4" t="s">
        <v>485</v>
      </c>
      <c r="M41" s="2">
        <v>1</v>
      </c>
      <c r="N41" s="9" t="s">
        <v>151</v>
      </c>
      <c r="O41" s="4" t="s">
        <v>486</v>
      </c>
      <c r="P41" s="4" t="s">
        <v>230</v>
      </c>
    </row>
    <row r="42" spans="1:16" ht="23.85">
      <c r="A42" s="6" t="s">
        <v>487</v>
      </c>
      <c r="B42" s="6" t="s">
        <v>70</v>
      </c>
      <c r="C42" s="7" t="s">
        <v>71</v>
      </c>
      <c r="D42" s="6" t="s">
        <v>50</v>
      </c>
      <c r="E42" s="7" t="s">
        <v>488</v>
      </c>
      <c r="F42" s="7" t="s">
        <v>489</v>
      </c>
      <c r="G42" s="4" t="s">
        <v>490</v>
      </c>
      <c r="H42" s="4" t="s">
        <v>491</v>
      </c>
      <c r="I42" s="4" t="s">
        <v>188</v>
      </c>
      <c r="J42" s="4" t="s">
        <v>492</v>
      </c>
      <c r="K42" s="4" t="s">
        <v>493</v>
      </c>
      <c r="L42" s="4" t="s">
        <v>494</v>
      </c>
      <c r="M42" s="2">
        <v>3</v>
      </c>
      <c r="N42" s="9" t="s">
        <v>151</v>
      </c>
      <c r="O42" s="4" t="s">
        <v>495</v>
      </c>
      <c r="P42" s="4" t="s">
        <v>153</v>
      </c>
    </row>
    <row r="43" spans="1:16" ht="35.1">
      <c r="A43" s="6" t="s">
        <v>496</v>
      </c>
      <c r="B43" s="6" t="s">
        <v>70</v>
      </c>
      <c r="C43" s="7" t="s">
        <v>71</v>
      </c>
      <c r="D43" s="6" t="s">
        <v>50</v>
      </c>
      <c r="E43" s="7" t="s">
        <v>488</v>
      </c>
      <c r="F43" s="7" t="s">
        <v>497</v>
      </c>
      <c r="G43" s="4" t="s">
        <v>498</v>
      </c>
      <c r="H43" s="4" t="s">
        <v>499</v>
      </c>
      <c r="I43" s="4" t="s">
        <v>500</v>
      </c>
      <c r="J43" s="4" t="s">
        <v>501</v>
      </c>
      <c r="K43" s="4" t="s">
        <v>502</v>
      </c>
      <c r="L43" s="4" t="s">
        <v>503</v>
      </c>
      <c r="M43" s="2">
        <v>3</v>
      </c>
      <c r="N43" s="9" t="s">
        <v>151</v>
      </c>
      <c r="O43" s="4" t="s">
        <v>504</v>
      </c>
      <c r="P43" s="4" t="s">
        <v>153</v>
      </c>
    </row>
    <row r="44" spans="1:16" ht="35.1">
      <c r="A44" s="6" t="s">
        <v>505</v>
      </c>
      <c r="B44" s="6" t="s">
        <v>70</v>
      </c>
      <c r="C44" s="7" t="s">
        <v>71</v>
      </c>
      <c r="D44" s="6" t="s">
        <v>50</v>
      </c>
      <c r="E44" s="7" t="s">
        <v>506</v>
      </c>
      <c r="F44" s="7" t="s">
        <v>507</v>
      </c>
      <c r="G44" s="4" t="s">
        <v>508</v>
      </c>
      <c r="H44" s="4" t="s">
        <v>509</v>
      </c>
      <c r="I44" s="4" t="s">
        <v>291</v>
      </c>
      <c r="J44" s="4" t="s">
        <v>334</v>
      </c>
      <c r="K44" s="4" t="s">
        <v>510</v>
      </c>
      <c r="L44" s="4" t="s">
        <v>511</v>
      </c>
      <c r="M44" s="2">
        <v>2</v>
      </c>
      <c r="N44" s="9" t="s">
        <v>151</v>
      </c>
      <c r="O44" s="4" t="s">
        <v>512</v>
      </c>
      <c r="P44" s="4" t="s">
        <v>174</v>
      </c>
    </row>
    <row r="45" spans="1:16" ht="23.85">
      <c r="A45" s="6" t="s">
        <v>513</v>
      </c>
      <c r="B45" s="6" t="s">
        <v>70</v>
      </c>
      <c r="C45" s="7" t="s">
        <v>71</v>
      </c>
      <c r="D45" s="6" t="s">
        <v>50</v>
      </c>
      <c r="E45" s="7" t="s">
        <v>506</v>
      </c>
      <c r="F45" s="7" t="s">
        <v>514</v>
      </c>
      <c r="G45" s="4" t="s">
        <v>515</v>
      </c>
      <c r="H45" s="4" t="s">
        <v>516</v>
      </c>
      <c r="I45" s="4" t="s">
        <v>245</v>
      </c>
      <c r="J45" s="4" t="s">
        <v>517</v>
      </c>
      <c r="K45" s="4" t="s">
        <v>518</v>
      </c>
      <c r="L45" s="4" t="s">
        <v>519</v>
      </c>
      <c r="M45" s="2">
        <v>2</v>
      </c>
      <c r="N45" s="9" t="s">
        <v>151</v>
      </c>
      <c r="O45" s="4" t="s">
        <v>520</v>
      </c>
      <c r="P45" s="4" t="s">
        <v>153</v>
      </c>
    </row>
    <row r="46" spans="1:16" ht="35.1">
      <c r="A46" s="6" t="s">
        <v>521</v>
      </c>
      <c r="B46" s="6" t="s">
        <v>70</v>
      </c>
      <c r="C46" s="7" t="s">
        <v>71</v>
      </c>
      <c r="D46" s="6" t="s">
        <v>50</v>
      </c>
      <c r="E46" s="7" t="s">
        <v>522</v>
      </c>
      <c r="F46" s="7" t="s">
        <v>523</v>
      </c>
      <c r="G46" s="4" t="s">
        <v>524</v>
      </c>
      <c r="H46" s="4" t="s">
        <v>525</v>
      </c>
      <c r="I46" s="4" t="s">
        <v>207</v>
      </c>
      <c r="J46" s="4" t="s">
        <v>526</v>
      </c>
      <c r="K46" s="4" t="s">
        <v>527</v>
      </c>
      <c r="L46" s="4" t="s">
        <v>528</v>
      </c>
      <c r="M46" s="2">
        <v>3</v>
      </c>
      <c r="N46" s="9" t="s">
        <v>151</v>
      </c>
      <c r="O46" s="4" t="s">
        <v>529</v>
      </c>
      <c r="P46" s="4" t="s">
        <v>153</v>
      </c>
    </row>
    <row r="47" spans="1:16" ht="35.1">
      <c r="A47" s="6" t="s">
        <v>530</v>
      </c>
      <c r="B47" s="6" t="s">
        <v>70</v>
      </c>
      <c r="C47" s="7" t="s">
        <v>71</v>
      </c>
      <c r="D47" s="6" t="s">
        <v>50</v>
      </c>
      <c r="E47" s="7" t="s">
        <v>531</v>
      </c>
      <c r="F47" s="7" t="s">
        <v>532</v>
      </c>
      <c r="G47" s="4" t="s">
        <v>533</v>
      </c>
      <c r="H47" s="4" t="s">
        <v>534</v>
      </c>
      <c r="I47" s="4" t="s">
        <v>535</v>
      </c>
      <c r="J47" s="4" t="s">
        <v>536</v>
      </c>
      <c r="K47" s="4" t="s">
        <v>537</v>
      </c>
      <c r="L47" s="4" t="s">
        <v>538</v>
      </c>
      <c r="M47" s="2">
        <v>3</v>
      </c>
      <c r="N47" s="9" t="s">
        <v>151</v>
      </c>
      <c r="O47" s="4" t="s">
        <v>539</v>
      </c>
      <c r="P47" s="4" t="s">
        <v>153</v>
      </c>
    </row>
    <row r="48" spans="1:16" ht="23.85">
      <c r="A48" s="6" t="s">
        <v>540</v>
      </c>
      <c r="B48" s="6" t="s">
        <v>70</v>
      </c>
      <c r="C48" s="7" t="s">
        <v>71</v>
      </c>
      <c r="D48" s="6" t="s">
        <v>50</v>
      </c>
      <c r="E48" s="7" t="s">
        <v>541</v>
      </c>
      <c r="F48" s="7" t="s">
        <v>542</v>
      </c>
      <c r="G48" s="4" t="s">
        <v>543</v>
      </c>
      <c r="H48" s="4" t="s">
        <v>544</v>
      </c>
      <c r="I48" s="4" t="s">
        <v>535</v>
      </c>
      <c r="J48" s="4" t="s">
        <v>545</v>
      </c>
      <c r="K48" s="4" t="s">
        <v>546</v>
      </c>
      <c r="L48" s="4" t="s">
        <v>547</v>
      </c>
      <c r="M48" s="2">
        <v>2</v>
      </c>
      <c r="N48" s="9" t="s">
        <v>151</v>
      </c>
      <c r="O48" s="4" t="s">
        <v>548</v>
      </c>
      <c r="P48" s="4" t="s">
        <v>230</v>
      </c>
    </row>
    <row r="49" spans="1:16" ht="23.85">
      <c r="A49" s="6" t="s">
        <v>549</v>
      </c>
      <c r="B49" s="6" t="s">
        <v>70</v>
      </c>
      <c r="C49" s="7" t="s">
        <v>71</v>
      </c>
      <c r="D49" s="6" t="s">
        <v>50</v>
      </c>
      <c r="E49" s="7" t="s">
        <v>541</v>
      </c>
      <c r="F49" s="7" t="s">
        <v>550</v>
      </c>
      <c r="G49" s="4" t="s">
        <v>551</v>
      </c>
      <c r="H49" s="4" t="s">
        <v>552</v>
      </c>
      <c r="I49" s="4" t="s">
        <v>553</v>
      </c>
      <c r="J49" s="4" t="s">
        <v>554</v>
      </c>
      <c r="K49" s="4" t="s">
        <v>555</v>
      </c>
      <c r="L49" s="4" t="s">
        <v>556</v>
      </c>
      <c r="M49" s="2">
        <v>1</v>
      </c>
      <c r="N49" s="9" t="s">
        <v>151</v>
      </c>
      <c r="O49" s="4" t="s">
        <v>557</v>
      </c>
      <c r="P49" s="4" t="s">
        <v>230</v>
      </c>
    </row>
    <row r="50" spans="1:16" ht="23.85">
      <c r="A50" s="6" t="s">
        <v>558</v>
      </c>
      <c r="B50" s="6" t="s">
        <v>70</v>
      </c>
      <c r="C50" s="7" t="s">
        <v>71</v>
      </c>
      <c r="D50" s="6" t="s">
        <v>50</v>
      </c>
      <c r="E50" s="7" t="s">
        <v>559</v>
      </c>
      <c r="F50" s="7" t="s">
        <v>560</v>
      </c>
      <c r="G50" s="4" t="s">
        <v>561</v>
      </c>
      <c r="H50" s="4" t="s">
        <v>562</v>
      </c>
      <c r="I50" s="4" t="s">
        <v>188</v>
      </c>
      <c r="J50" s="4" t="s">
        <v>563</v>
      </c>
      <c r="K50" s="4" t="s">
        <v>564</v>
      </c>
      <c r="L50" s="4" t="s">
        <v>565</v>
      </c>
      <c r="M50" s="2">
        <v>2</v>
      </c>
      <c r="N50" s="9" t="s">
        <v>151</v>
      </c>
      <c r="O50" s="4" t="s">
        <v>566</v>
      </c>
      <c r="P50" s="4" t="s">
        <v>153</v>
      </c>
    </row>
    <row r="51" spans="1:16" ht="23.85">
      <c r="A51" s="6" t="s">
        <v>567</v>
      </c>
      <c r="B51" s="6" t="s">
        <v>70</v>
      </c>
      <c r="C51" s="7" t="s">
        <v>71</v>
      </c>
      <c r="D51" s="6" t="s">
        <v>50</v>
      </c>
      <c r="E51" s="7" t="s">
        <v>568</v>
      </c>
      <c r="F51" s="7" t="s">
        <v>569</v>
      </c>
      <c r="G51" s="4" t="s">
        <v>570</v>
      </c>
      <c r="H51" s="4" t="s">
        <v>571</v>
      </c>
      <c r="I51" s="4" t="s">
        <v>291</v>
      </c>
      <c r="J51" s="4" t="s">
        <v>459</v>
      </c>
      <c r="K51" s="4" t="s">
        <v>572</v>
      </c>
      <c r="L51" s="4" t="s">
        <v>573</v>
      </c>
      <c r="M51" s="2">
        <v>2</v>
      </c>
      <c r="N51" s="9" t="s">
        <v>151</v>
      </c>
      <c r="O51" s="4" t="s">
        <v>574</v>
      </c>
      <c r="P51" s="4" t="s">
        <v>230</v>
      </c>
    </row>
    <row r="52" spans="1:16" ht="23.85">
      <c r="A52" s="6" t="s">
        <v>575</v>
      </c>
      <c r="B52" s="6" t="s">
        <v>70</v>
      </c>
      <c r="C52" s="7" t="s">
        <v>71</v>
      </c>
      <c r="D52" s="6" t="s">
        <v>50</v>
      </c>
      <c r="E52" s="7" t="s">
        <v>541</v>
      </c>
      <c r="F52" s="7" t="s">
        <v>576</v>
      </c>
      <c r="G52" s="4" t="s">
        <v>577</v>
      </c>
      <c r="H52" s="4" t="s">
        <v>578</v>
      </c>
      <c r="I52" s="4" t="s">
        <v>579</v>
      </c>
      <c r="J52" s="4" t="s">
        <v>580</v>
      </c>
      <c r="K52" s="4" t="s">
        <v>581</v>
      </c>
      <c r="L52" s="4" t="s">
        <v>582</v>
      </c>
      <c r="M52" s="2">
        <v>1</v>
      </c>
      <c r="N52" s="9" t="s">
        <v>151</v>
      </c>
      <c r="O52" s="4" t="s">
        <v>583</v>
      </c>
      <c r="P52" s="4" t="s">
        <v>230</v>
      </c>
    </row>
    <row r="53" spans="1:16" ht="35.1">
      <c r="A53" s="6" t="s">
        <v>584</v>
      </c>
      <c r="B53" s="6" t="s">
        <v>70</v>
      </c>
      <c r="C53" s="7" t="s">
        <v>71</v>
      </c>
      <c r="D53" s="6" t="s">
        <v>50</v>
      </c>
      <c r="E53" s="7" t="s">
        <v>585</v>
      </c>
      <c r="F53" s="7" t="s">
        <v>586</v>
      </c>
      <c r="G53" s="4" t="s">
        <v>587</v>
      </c>
      <c r="H53" s="4" t="s">
        <v>588</v>
      </c>
      <c r="I53" s="4" t="s">
        <v>589</v>
      </c>
      <c r="J53" s="4" t="s">
        <v>590</v>
      </c>
      <c r="K53" s="4" t="s">
        <v>591</v>
      </c>
      <c r="L53" s="4" t="s">
        <v>592</v>
      </c>
      <c r="M53" s="2">
        <v>2</v>
      </c>
      <c r="N53" s="9" t="s">
        <v>151</v>
      </c>
      <c r="O53" s="4" t="s">
        <v>593</v>
      </c>
      <c r="P53" s="4" t="s">
        <v>153</v>
      </c>
    </row>
    <row r="54" spans="1:16" ht="35.1">
      <c r="A54" s="6" t="s">
        <v>594</v>
      </c>
      <c r="B54" s="6" t="s">
        <v>77</v>
      </c>
      <c r="C54" s="7" t="s">
        <v>78</v>
      </c>
      <c r="D54" s="6" t="s">
        <v>50</v>
      </c>
      <c r="E54" s="7" t="s">
        <v>595</v>
      </c>
      <c r="F54" s="7" t="s">
        <v>595</v>
      </c>
      <c r="G54" s="4" t="s">
        <v>596</v>
      </c>
      <c r="H54" s="4" t="s">
        <v>597</v>
      </c>
      <c r="I54" s="4" t="s">
        <v>404</v>
      </c>
      <c r="J54" s="4" t="s">
        <v>598</v>
      </c>
      <c r="K54" s="4" t="s">
        <v>599</v>
      </c>
      <c r="L54" s="4" t="s">
        <v>600</v>
      </c>
      <c r="M54" s="2">
        <v>3</v>
      </c>
      <c r="N54" s="9" t="s">
        <v>172</v>
      </c>
      <c r="O54" s="4" t="s">
        <v>601</v>
      </c>
      <c r="P54" s="4" t="s">
        <v>153</v>
      </c>
    </row>
    <row r="55" spans="1:16" ht="35.1">
      <c r="A55" s="6" t="s">
        <v>602</v>
      </c>
      <c r="B55" s="6" t="s">
        <v>77</v>
      </c>
      <c r="C55" s="7" t="s">
        <v>78</v>
      </c>
      <c r="D55" s="6" t="s">
        <v>50</v>
      </c>
      <c r="E55" s="7" t="s">
        <v>595</v>
      </c>
      <c r="F55" s="7" t="s">
        <v>603</v>
      </c>
      <c r="G55" s="4" t="s">
        <v>604</v>
      </c>
      <c r="H55" s="4" t="s">
        <v>605</v>
      </c>
      <c r="I55" s="4" t="s">
        <v>606</v>
      </c>
      <c r="J55" s="4" t="s">
        <v>607</v>
      </c>
      <c r="K55" s="4" t="s">
        <v>608</v>
      </c>
      <c r="L55" s="4" t="s">
        <v>609</v>
      </c>
      <c r="M55" s="2">
        <v>3</v>
      </c>
      <c r="N55" s="9" t="s">
        <v>172</v>
      </c>
      <c r="O55" s="4" t="s">
        <v>610</v>
      </c>
      <c r="P55" s="4" t="s">
        <v>174</v>
      </c>
    </row>
    <row r="56" spans="1:16" ht="23.85">
      <c r="A56" s="6" t="s">
        <v>611</v>
      </c>
      <c r="B56" s="6" t="s">
        <v>77</v>
      </c>
      <c r="C56" s="7" t="s">
        <v>78</v>
      </c>
      <c r="D56" s="6" t="s">
        <v>50</v>
      </c>
      <c r="E56" s="7" t="s">
        <v>612</v>
      </c>
      <c r="F56" s="7" t="s">
        <v>613</v>
      </c>
      <c r="G56" s="4" t="s">
        <v>614</v>
      </c>
      <c r="H56" s="4" t="s">
        <v>615</v>
      </c>
      <c r="I56" s="4" t="s">
        <v>616</v>
      </c>
      <c r="J56" s="4" t="s">
        <v>617</v>
      </c>
      <c r="K56" s="4" t="s">
        <v>618</v>
      </c>
      <c r="L56" s="4" t="s">
        <v>619</v>
      </c>
      <c r="M56" s="2">
        <v>3</v>
      </c>
      <c r="N56" s="9" t="s">
        <v>172</v>
      </c>
      <c r="O56" s="4" t="s">
        <v>620</v>
      </c>
      <c r="P56" s="4" t="s">
        <v>230</v>
      </c>
    </row>
    <row r="57" spans="1:16" ht="23.85">
      <c r="A57" s="6" t="s">
        <v>621</v>
      </c>
      <c r="B57" s="6" t="s">
        <v>77</v>
      </c>
      <c r="C57" s="7" t="s">
        <v>78</v>
      </c>
      <c r="D57" s="6" t="s">
        <v>50</v>
      </c>
      <c r="E57" s="7" t="s">
        <v>612</v>
      </c>
      <c r="F57" s="7" t="s">
        <v>622</v>
      </c>
      <c r="G57" s="4" t="s">
        <v>623</v>
      </c>
      <c r="H57" s="4" t="s">
        <v>624</v>
      </c>
      <c r="I57" s="4" t="s">
        <v>535</v>
      </c>
      <c r="J57" s="4" t="s">
        <v>625</v>
      </c>
      <c r="K57" s="4" t="s">
        <v>626</v>
      </c>
      <c r="L57" s="4" t="s">
        <v>627</v>
      </c>
      <c r="M57" s="2">
        <v>2</v>
      </c>
      <c r="N57" s="9" t="s">
        <v>172</v>
      </c>
      <c r="O57" s="4" t="s">
        <v>628</v>
      </c>
      <c r="P57" s="4" t="s">
        <v>153</v>
      </c>
    </row>
    <row r="58" spans="1:16" ht="23.85">
      <c r="A58" s="6" t="s">
        <v>629</v>
      </c>
      <c r="B58" s="6" t="s">
        <v>77</v>
      </c>
      <c r="C58" s="7" t="s">
        <v>78</v>
      </c>
      <c r="D58" s="6" t="s">
        <v>50</v>
      </c>
      <c r="E58" s="7" t="s">
        <v>630</v>
      </c>
      <c r="F58" s="7" t="s">
        <v>631</v>
      </c>
      <c r="G58" s="4" t="s">
        <v>632</v>
      </c>
      <c r="H58" s="4" t="s">
        <v>633</v>
      </c>
      <c r="I58" s="4" t="s">
        <v>245</v>
      </c>
      <c r="J58" s="4" t="s">
        <v>517</v>
      </c>
      <c r="K58" s="4" t="s">
        <v>634</v>
      </c>
      <c r="L58" s="4" t="s">
        <v>635</v>
      </c>
      <c r="M58" s="2">
        <v>2</v>
      </c>
      <c r="N58" s="9" t="s">
        <v>172</v>
      </c>
      <c r="O58" s="4" t="s">
        <v>636</v>
      </c>
      <c r="P58" s="4" t="s">
        <v>153</v>
      </c>
    </row>
    <row r="59" spans="1:16" ht="23.85">
      <c r="A59" s="6" t="s">
        <v>637</v>
      </c>
      <c r="B59" s="6" t="s">
        <v>77</v>
      </c>
      <c r="C59" s="7" t="s">
        <v>78</v>
      </c>
      <c r="D59" s="6" t="s">
        <v>50</v>
      </c>
      <c r="E59" s="7" t="s">
        <v>638</v>
      </c>
      <c r="F59" s="7" t="s">
        <v>639</v>
      </c>
      <c r="G59" s="4" t="s">
        <v>640</v>
      </c>
      <c r="H59" s="4" t="s">
        <v>641</v>
      </c>
      <c r="I59" s="4" t="s">
        <v>642</v>
      </c>
      <c r="J59" s="4" t="s">
        <v>334</v>
      </c>
      <c r="K59" s="4" t="s">
        <v>643</v>
      </c>
      <c r="L59" s="4" t="s">
        <v>644</v>
      </c>
      <c r="M59" s="2">
        <v>2</v>
      </c>
      <c r="N59" s="9" t="s">
        <v>172</v>
      </c>
      <c r="O59" s="4" t="s">
        <v>645</v>
      </c>
      <c r="P59" s="4" t="s">
        <v>153</v>
      </c>
    </row>
    <row r="60" spans="1:16" ht="23.85">
      <c r="A60" s="6" t="s">
        <v>646</v>
      </c>
      <c r="B60" s="6" t="s">
        <v>77</v>
      </c>
      <c r="C60" s="7" t="s">
        <v>78</v>
      </c>
      <c r="D60" s="6" t="s">
        <v>50</v>
      </c>
      <c r="E60" s="7" t="s">
        <v>630</v>
      </c>
      <c r="F60" s="7" t="s">
        <v>647</v>
      </c>
      <c r="G60" s="4" t="s">
        <v>648</v>
      </c>
      <c r="H60" s="4" t="s">
        <v>649</v>
      </c>
      <c r="I60" s="4" t="s">
        <v>245</v>
      </c>
      <c r="J60" s="4" t="s">
        <v>650</v>
      </c>
      <c r="K60" s="4" t="s">
        <v>634</v>
      </c>
      <c r="L60" s="4" t="s">
        <v>651</v>
      </c>
      <c r="M60" s="2">
        <v>2</v>
      </c>
      <c r="N60" s="9" t="s">
        <v>172</v>
      </c>
      <c r="O60" s="4" t="s">
        <v>652</v>
      </c>
      <c r="P60" s="4" t="s">
        <v>153</v>
      </c>
    </row>
    <row r="61" spans="1:16" ht="23.85">
      <c r="A61" s="6" t="s">
        <v>653</v>
      </c>
      <c r="B61" s="6" t="s">
        <v>77</v>
      </c>
      <c r="C61" s="7" t="s">
        <v>78</v>
      </c>
      <c r="D61" s="6" t="s">
        <v>50</v>
      </c>
      <c r="E61" s="7" t="s">
        <v>654</v>
      </c>
      <c r="F61" s="7" t="s">
        <v>655</v>
      </c>
      <c r="G61" s="4" t="s">
        <v>656</v>
      </c>
      <c r="H61" s="4" t="s">
        <v>657</v>
      </c>
      <c r="I61" s="4" t="s">
        <v>245</v>
      </c>
      <c r="J61" s="4" t="s">
        <v>517</v>
      </c>
      <c r="K61" s="4" t="s">
        <v>658</v>
      </c>
      <c r="L61" s="4" t="s">
        <v>659</v>
      </c>
      <c r="M61" s="2">
        <v>2</v>
      </c>
      <c r="N61" s="9" t="s">
        <v>172</v>
      </c>
      <c r="O61" s="4" t="s">
        <v>660</v>
      </c>
      <c r="P61" s="4" t="s">
        <v>153</v>
      </c>
    </row>
    <row r="62" spans="1:16" ht="23.85">
      <c r="A62" s="6" t="s">
        <v>661</v>
      </c>
      <c r="B62" s="6" t="s">
        <v>77</v>
      </c>
      <c r="C62" s="7" t="s">
        <v>78</v>
      </c>
      <c r="D62" s="6" t="s">
        <v>50</v>
      </c>
      <c r="E62" s="7" t="s">
        <v>662</v>
      </c>
      <c r="F62" s="7" t="s">
        <v>663</v>
      </c>
      <c r="G62" s="4" t="s">
        <v>664</v>
      </c>
      <c r="H62" s="4" t="s">
        <v>665</v>
      </c>
      <c r="I62" s="4" t="s">
        <v>666</v>
      </c>
      <c r="J62" s="4" t="s">
        <v>667</v>
      </c>
      <c r="K62" s="4" t="s">
        <v>668</v>
      </c>
      <c r="L62" s="4" t="s">
        <v>669</v>
      </c>
      <c r="M62" s="2">
        <v>2</v>
      </c>
      <c r="N62" s="9" t="s">
        <v>172</v>
      </c>
      <c r="O62" s="4" t="s">
        <v>670</v>
      </c>
      <c r="P62" s="4" t="s">
        <v>230</v>
      </c>
    </row>
    <row r="63" spans="1:16" ht="23.85">
      <c r="A63" s="6" t="s">
        <v>671</v>
      </c>
      <c r="B63" s="6" t="s">
        <v>77</v>
      </c>
      <c r="C63" s="7" t="s">
        <v>78</v>
      </c>
      <c r="D63" s="6" t="s">
        <v>50</v>
      </c>
      <c r="E63" s="7" t="s">
        <v>662</v>
      </c>
      <c r="F63" s="7" t="s">
        <v>672</v>
      </c>
      <c r="G63" s="4" t="s">
        <v>673</v>
      </c>
      <c r="H63" s="4" t="s">
        <v>674</v>
      </c>
      <c r="I63" s="4" t="s">
        <v>535</v>
      </c>
      <c r="J63" s="4" t="s">
        <v>675</v>
      </c>
      <c r="K63" s="4" t="s">
        <v>676</v>
      </c>
      <c r="L63" s="4" t="s">
        <v>677</v>
      </c>
      <c r="M63" s="2">
        <v>2</v>
      </c>
      <c r="N63" s="9" t="s">
        <v>172</v>
      </c>
      <c r="O63" s="4" t="s">
        <v>678</v>
      </c>
      <c r="P63" s="4" t="s">
        <v>153</v>
      </c>
    </row>
    <row r="64" spans="1:16" ht="23.85">
      <c r="A64" s="6" t="s">
        <v>679</v>
      </c>
      <c r="B64" s="6" t="s">
        <v>77</v>
      </c>
      <c r="C64" s="7" t="s">
        <v>78</v>
      </c>
      <c r="D64" s="6" t="s">
        <v>50</v>
      </c>
      <c r="E64" s="7" t="s">
        <v>595</v>
      </c>
      <c r="F64" s="7" t="s">
        <v>680</v>
      </c>
      <c r="G64" s="4" t="s">
        <v>681</v>
      </c>
      <c r="H64" s="4" t="s">
        <v>682</v>
      </c>
      <c r="I64" s="4" t="s">
        <v>683</v>
      </c>
      <c r="J64" s="4" t="s">
        <v>580</v>
      </c>
      <c r="K64" s="4" t="s">
        <v>684</v>
      </c>
      <c r="L64" s="4" t="s">
        <v>685</v>
      </c>
      <c r="M64" s="2">
        <v>1</v>
      </c>
      <c r="N64" s="9" t="s">
        <v>172</v>
      </c>
      <c r="O64" s="4" t="s">
        <v>686</v>
      </c>
      <c r="P64" s="4" t="s">
        <v>153</v>
      </c>
    </row>
    <row r="65" spans="1:16" ht="23.85">
      <c r="A65" s="6" t="s">
        <v>687</v>
      </c>
      <c r="B65" s="6" t="s">
        <v>77</v>
      </c>
      <c r="C65" s="7" t="s">
        <v>78</v>
      </c>
      <c r="D65" s="6" t="s">
        <v>50</v>
      </c>
      <c r="E65" s="7" t="s">
        <v>585</v>
      </c>
      <c r="F65" s="7" t="s">
        <v>688</v>
      </c>
      <c r="G65" s="4" t="s">
        <v>689</v>
      </c>
      <c r="H65" s="4" t="s">
        <v>690</v>
      </c>
      <c r="I65" s="4" t="s">
        <v>158</v>
      </c>
      <c r="J65" s="4" t="s">
        <v>691</v>
      </c>
      <c r="K65" s="4" t="s">
        <v>692</v>
      </c>
      <c r="L65" s="4" t="s">
        <v>693</v>
      </c>
      <c r="M65" s="2">
        <v>2</v>
      </c>
      <c r="N65" s="9" t="s">
        <v>151</v>
      </c>
      <c r="O65" s="4" t="s">
        <v>694</v>
      </c>
      <c r="P65" s="4" t="s">
        <v>153</v>
      </c>
    </row>
    <row r="66" spans="1:16" ht="23.85">
      <c r="A66" s="6" t="s">
        <v>695</v>
      </c>
      <c r="B66" s="6" t="s">
        <v>77</v>
      </c>
      <c r="C66" s="7" t="s">
        <v>78</v>
      </c>
      <c r="D66" s="6" t="s">
        <v>50</v>
      </c>
      <c r="E66" s="7" t="s">
        <v>662</v>
      </c>
      <c r="F66" s="7" t="s">
        <v>696</v>
      </c>
      <c r="G66" s="4" t="s">
        <v>697</v>
      </c>
      <c r="H66" s="4" t="s">
        <v>698</v>
      </c>
      <c r="I66" s="4" t="s">
        <v>699</v>
      </c>
      <c r="J66" s="4" t="s">
        <v>517</v>
      </c>
      <c r="K66" s="4" t="s">
        <v>700</v>
      </c>
      <c r="L66" s="4" t="s">
        <v>701</v>
      </c>
      <c r="M66" s="2">
        <v>2</v>
      </c>
      <c r="N66" s="9" t="s">
        <v>172</v>
      </c>
      <c r="O66" s="4" t="s">
        <v>702</v>
      </c>
      <c r="P66" s="4" t="s">
        <v>230</v>
      </c>
    </row>
    <row r="67" spans="1:16" ht="23.85">
      <c r="A67" s="9" t="s">
        <v>703</v>
      </c>
      <c r="B67" s="9" t="s">
        <v>84</v>
      </c>
      <c r="C67" s="4" t="s">
        <v>85</v>
      </c>
      <c r="D67" s="9" t="s">
        <v>86</v>
      </c>
      <c r="E67" s="4" t="s">
        <v>704</v>
      </c>
      <c r="F67" s="4" t="s">
        <v>705</v>
      </c>
      <c r="G67" s="4" t="s">
        <v>706</v>
      </c>
      <c r="H67" s="4" t="s">
        <v>707</v>
      </c>
      <c r="I67" s="4" t="s">
        <v>216</v>
      </c>
      <c r="J67" s="4" t="s">
        <v>334</v>
      </c>
      <c r="K67" s="4" t="s">
        <v>708</v>
      </c>
      <c r="L67" s="4" t="s">
        <v>709</v>
      </c>
      <c r="M67" s="2">
        <v>2</v>
      </c>
      <c r="N67" s="9" t="s">
        <v>151</v>
      </c>
      <c r="O67" s="4" t="s">
        <v>710</v>
      </c>
      <c r="P67" s="4" t="s">
        <v>153</v>
      </c>
    </row>
    <row r="68" spans="1:16" ht="23.85">
      <c r="A68" s="9" t="s">
        <v>711</v>
      </c>
      <c r="B68" s="9" t="s">
        <v>84</v>
      </c>
      <c r="C68" s="4" t="s">
        <v>85</v>
      </c>
      <c r="D68" s="9" t="s">
        <v>86</v>
      </c>
      <c r="E68" s="4" t="s">
        <v>712</v>
      </c>
      <c r="F68" s="4" t="s">
        <v>713</v>
      </c>
      <c r="G68" s="4" t="s">
        <v>714</v>
      </c>
      <c r="H68" s="4" t="s">
        <v>715</v>
      </c>
      <c r="I68" s="4" t="s">
        <v>716</v>
      </c>
      <c r="J68" s="4" t="s">
        <v>717</v>
      </c>
      <c r="K68" s="4" t="s">
        <v>718</v>
      </c>
      <c r="L68" s="4" t="s">
        <v>719</v>
      </c>
      <c r="M68" s="2">
        <v>3</v>
      </c>
      <c r="N68" s="9" t="s">
        <v>151</v>
      </c>
      <c r="O68" s="4" t="s">
        <v>720</v>
      </c>
      <c r="P68" s="4" t="s">
        <v>153</v>
      </c>
    </row>
    <row r="69" spans="1:16" ht="23.85">
      <c r="A69" s="9" t="s">
        <v>721</v>
      </c>
      <c r="B69" s="9" t="s">
        <v>84</v>
      </c>
      <c r="C69" s="4" t="s">
        <v>85</v>
      </c>
      <c r="D69" s="9" t="s">
        <v>86</v>
      </c>
      <c r="E69" s="4" t="s">
        <v>722</v>
      </c>
      <c r="F69" s="4" t="s">
        <v>723</v>
      </c>
      <c r="G69" s="4" t="s">
        <v>724</v>
      </c>
      <c r="H69" s="4" t="s">
        <v>725</v>
      </c>
      <c r="I69" s="4" t="s">
        <v>726</v>
      </c>
      <c r="J69" s="4" t="s">
        <v>727</v>
      </c>
      <c r="K69" s="4" t="s">
        <v>728</v>
      </c>
      <c r="L69" s="4" t="s">
        <v>729</v>
      </c>
      <c r="M69" s="2">
        <v>2</v>
      </c>
      <c r="N69" s="9" t="s">
        <v>172</v>
      </c>
      <c r="O69" s="4" t="s">
        <v>730</v>
      </c>
      <c r="P69" s="4" t="s">
        <v>230</v>
      </c>
    </row>
    <row r="70" spans="1:16" ht="23.85">
      <c r="A70" s="9" t="s">
        <v>731</v>
      </c>
      <c r="B70" s="9" t="s">
        <v>84</v>
      </c>
      <c r="C70" s="4" t="s">
        <v>85</v>
      </c>
      <c r="D70" s="9" t="s">
        <v>86</v>
      </c>
      <c r="E70" s="4" t="s">
        <v>722</v>
      </c>
      <c r="F70" s="4" t="s">
        <v>732</v>
      </c>
      <c r="G70" s="4" t="s">
        <v>733</v>
      </c>
      <c r="H70" s="4" t="s">
        <v>734</v>
      </c>
      <c r="I70" s="4" t="s">
        <v>735</v>
      </c>
      <c r="J70" s="4" t="s">
        <v>650</v>
      </c>
      <c r="K70" s="4" t="s">
        <v>442</v>
      </c>
      <c r="L70" s="4" t="s">
        <v>736</v>
      </c>
      <c r="M70" s="2">
        <v>2</v>
      </c>
      <c r="N70" s="9" t="s">
        <v>172</v>
      </c>
      <c r="O70" s="4" t="s">
        <v>737</v>
      </c>
      <c r="P70" s="4" t="s">
        <v>153</v>
      </c>
    </row>
    <row r="71" spans="1:16" ht="23.85">
      <c r="A71" s="9" t="s">
        <v>738</v>
      </c>
      <c r="B71" s="9" t="s">
        <v>84</v>
      </c>
      <c r="C71" s="4" t="s">
        <v>85</v>
      </c>
      <c r="D71" s="9" t="s">
        <v>86</v>
      </c>
      <c r="E71" s="4" t="s">
        <v>712</v>
      </c>
      <c r="F71" s="4" t="s">
        <v>739</v>
      </c>
      <c r="G71" s="4" t="s">
        <v>740</v>
      </c>
      <c r="H71" s="4" t="s">
        <v>741</v>
      </c>
      <c r="I71" s="4" t="s">
        <v>742</v>
      </c>
      <c r="J71" s="4" t="s">
        <v>650</v>
      </c>
      <c r="K71" s="4" t="s">
        <v>743</v>
      </c>
      <c r="L71" s="4" t="s">
        <v>744</v>
      </c>
      <c r="M71" s="2">
        <v>1</v>
      </c>
      <c r="N71" s="9" t="s">
        <v>172</v>
      </c>
      <c r="O71" s="4" t="s">
        <v>745</v>
      </c>
      <c r="P71" s="4" t="s">
        <v>153</v>
      </c>
    </row>
    <row r="72" spans="1:16" ht="23.85">
      <c r="A72" s="9" t="s">
        <v>746</v>
      </c>
      <c r="B72" s="9" t="s">
        <v>84</v>
      </c>
      <c r="C72" s="4" t="s">
        <v>85</v>
      </c>
      <c r="D72" s="9" t="s">
        <v>86</v>
      </c>
      <c r="E72" s="4" t="s">
        <v>585</v>
      </c>
      <c r="F72" s="4" t="s">
        <v>747</v>
      </c>
      <c r="G72" s="4" t="s">
        <v>748</v>
      </c>
      <c r="H72" s="4" t="s">
        <v>749</v>
      </c>
      <c r="I72" s="4" t="s">
        <v>158</v>
      </c>
      <c r="J72" s="4" t="s">
        <v>750</v>
      </c>
      <c r="K72" s="4" t="s">
        <v>751</v>
      </c>
      <c r="L72" s="4" t="s">
        <v>752</v>
      </c>
      <c r="M72" s="2">
        <v>2</v>
      </c>
      <c r="N72" s="9" t="s">
        <v>151</v>
      </c>
      <c r="O72" s="4" t="s">
        <v>753</v>
      </c>
      <c r="P72" s="4" t="s">
        <v>153</v>
      </c>
    </row>
    <row r="73" spans="1:16" ht="23.85">
      <c r="A73" s="9" t="s">
        <v>754</v>
      </c>
      <c r="B73" s="9" t="s">
        <v>84</v>
      </c>
      <c r="C73" s="4" t="s">
        <v>85</v>
      </c>
      <c r="D73" s="9" t="s">
        <v>86</v>
      </c>
      <c r="E73" s="4" t="s">
        <v>704</v>
      </c>
      <c r="F73" s="4" t="s">
        <v>755</v>
      </c>
      <c r="G73" s="4" t="s">
        <v>756</v>
      </c>
      <c r="H73" s="4" t="s">
        <v>757</v>
      </c>
      <c r="I73" s="4" t="s">
        <v>188</v>
      </c>
      <c r="J73" s="4" t="s">
        <v>563</v>
      </c>
      <c r="K73" s="4" t="s">
        <v>758</v>
      </c>
      <c r="L73" s="4" t="s">
        <v>759</v>
      </c>
      <c r="M73" s="2">
        <v>1</v>
      </c>
      <c r="N73" s="9" t="s">
        <v>151</v>
      </c>
      <c r="O73" s="4" t="s">
        <v>760</v>
      </c>
      <c r="P73" s="4" t="s">
        <v>153</v>
      </c>
    </row>
    <row r="74" spans="1:16" ht="23.85">
      <c r="A74" s="9" t="s">
        <v>761</v>
      </c>
      <c r="B74" s="9" t="s">
        <v>92</v>
      </c>
      <c r="C74" s="4" t="s">
        <v>93</v>
      </c>
      <c r="D74" s="9" t="s">
        <v>86</v>
      </c>
      <c r="E74" s="4" t="s">
        <v>762</v>
      </c>
      <c r="F74" s="4" t="s">
        <v>763</v>
      </c>
      <c r="G74" s="4" t="s">
        <v>764</v>
      </c>
      <c r="H74" s="4" t="s">
        <v>765</v>
      </c>
      <c r="I74" s="4" t="s">
        <v>245</v>
      </c>
      <c r="J74" s="4" t="s">
        <v>634</v>
      </c>
      <c r="K74" s="4" t="s">
        <v>766</v>
      </c>
      <c r="L74" s="4" t="s">
        <v>767</v>
      </c>
      <c r="M74" s="2">
        <v>3</v>
      </c>
      <c r="N74" s="9" t="s">
        <v>151</v>
      </c>
      <c r="O74" s="4" t="s">
        <v>768</v>
      </c>
      <c r="P74" s="4" t="s">
        <v>153</v>
      </c>
    </row>
    <row r="75" spans="1:16" ht="23.85">
      <c r="A75" s="9" t="s">
        <v>769</v>
      </c>
      <c r="B75" s="9" t="s">
        <v>92</v>
      </c>
      <c r="C75" s="4" t="s">
        <v>93</v>
      </c>
      <c r="D75" s="9" t="s">
        <v>86</v>
      </c>
      <c r="E75" s="4" t="s">
        <v>770</v>
      </c>
      <c r="F75" s="4" t="s">
        <v>771</v>
      </c>
      <c r="G75" s="4" t="s">
        <v>772</v>
      </c>
      <c r="H75" s="4" t="s">
        <v>773</v>
      </c>
      <c r="I75" s="4" t="s">
        <v>207</v>
      </c>
      <c r="J75" s="4" t="s">
        <v>580</v>
      </c>
      <c r="K75" s="4" t="s">
        <v>774</v>
      </c>
      <c r="L75" s="4" t="s">
        <v>775</v>
      </c>
      <c r="M75" s="2">
        <v>2</v>
      </c>
      <c r="N75" s="9" t="s">
        <v>151</v>
      </c>
      <c r="O75" s="4" t="s">
        <v>776</v>
      </c>
      <c r="P75" s="4" t="s">
        <v>153</v>
      </c>
    </row>
    <row r="76" spans="1:16" ht="23.85">
      <c r="A76" s="9" t="s">
        <v>777</v>
      </c>
      <c r="B76" s="9" t="s">
        <v>92</v>
      </c>
      <c r="C76" s="4" t="s">
        <v>93</v>
      </c>
      <c r="D76" s="9" t="s">
        <v>86</v>
      </c>
      <c r="E76" s="4" t="s">
        <v>770</v>
      </c>
      <c r="F76" s="4" t="s">
        <v>778</v>
      </c>
      <c r="G76" s="4" t="s">
        <v>779</v>
      </c>
      <c r="H76" s="4" t="s">
        <v>780</v>
      </c>
      <c r="I76" s="4" t="s">
        <v>245</v>
      </c>
      <c r="J76" s="4" t="s">
        <v>517</v>
      </c>
      <c r="K76" s="4" t="s">
        <v>781</v>
      </c>
      <c r="L76" s="4" t="s">
        <v>782</v>
      </c>
      <c r="M76" s="2">
        <v>2</v>
      </c>
      <c r="N76" s="9" t="s">
        <v>151</v>
      </c>
      <c r="O76" s="4" t="s">
        <v>783</v>
      </c>
      <c r="P76" s="4" t="s">
        <v>153</v>
      </c>
    </row>
    <row r="77" spans="1:16" ht="23.85">
      <c r="A77" s="9" t="s">
        <v>784</v>
      </c>
      <c r="B77" s="9" t="s">
        <v>92</v>
      </c>
      <c r="C77" s="4" t="s">
        <v>93</v>
      </c>
      <c r="D77" s="9" t="s">
        <v>86</v>
      </c>
      <c r="E77" s="4" t="s">
        <v>785</v>
      </c>
      <c r="F77" s="4" t="s">
        <v>786</v>
      </c>
      <c r="G77" s="4" t="s">
        <v>787</v>
      </c>
      <c r="H77" s="4" t="s">
        <v>788</v>
      </c>
      <c r="I77" s="4" t="s">
        <v>683</v>
      </c>
      <c r="J77" s="4" t="s">
        <v>789</v>
      </c>
      <c r="K77" s="4" t="s">
        <v>790</v>
      </c>
      <c r="L77" s="4" t="s">
        <v>791</v>
      </c>
      <c r="M77" s="2">
        <v>3</v>
      </c>
      <c r="N77" s="9" t="s">
        <v>151</v>
      </c>
      <c r="O77" s="4" t="s">
        <v>792</v>
      </c>
      <c r="P77" s="4" t="s">
        <v>153</v>
      </c>
    </row>
    <row r="78" spans="1:16" ht="23.85">
      <c r="A78" s="9" t="s">
        <v>793</v>
      </c>
      <c r="B78" s="9" t="s">
        <v>92</v>
      </c>
      <c r="C78" s="4" t="s">
        <v>93</v>
      </c>
      <c r="D78" s="9" t="s">
        <v>86</v>
      </c>
      <c r="E78" s="4" t="s">
        <v>794</v>
      </c>
      <c r="F78" s="4" t="s">
        <v>795</v>
      </c>
      <c r="G78" s="4" t="s">
        <v>796</v>
      </c>
      <c r="H78" s="4" t="s">
        <v>797</v>
      </c>
      <c r="I78" s="4" t="s">
        <v>798</v>
      </c>
      <c r="J78" s="4" t="s">
        <v>799</v>
      </c>
      <c r="K78" s="4" t="s">
        <v>800</v>
      </c>
      <c r="L78" s="4" t="s">
        <v>801</v>
      </c>
      <c r="M78" s="2">
        <v>1</v>
      </c>
      <c r="N78" s="9" t="s">
        <v>151</v>
      </c>
      <c r="O78" s="4" t="s">
        <v>802</v>
      </c>
      <c r="P78" s="4" t="s">
        <v>153</v>
      </c>
    </row>
    <row r="79" spans="1:16" ht="23.85">
      <c r="A79" s="9" t="s">
        <v>803</v>
      </c>
      <c r="B79" s="9" t="s">
        <v>92</v>
      </c>
      <c r="C79" s="4" t="s">
        <v>93</v>
      </c>
      <c r="D79" s="9" t="s">
        <v>86</v>
      </c>
      <c r="E79" s="4" t="s">
        <v>794</v>
      </c>
      <c r="F79" s="4" t="s">
        <v>804</v>
      </c>
      <c r="G79" s="4" t="s">
        <v>805</v>
      </c>
      <c r="H79" s="4" t="s">
        <v>806</v>
      </c>
      <c r="I79" s="4" t="s">
        <v>553</v>
      </c>
      <c r="J79" s="4" t="s">
        <v>625</v>
      </c>
      <c r="K79" s="4" t="s">
        <v>807</v>
      </c>
      <c r="L79" s="4" t="s">
        <v>808</v>
      </c>
      <c r="M79" s="2">
        <v>2</v>
      </c>
      <c r="N79" s="9" t="s">
        <v>151</v>
      </c>
      <c r="O79" s="4" t="s">
        <v>809</v>
      </c>
      <c r="P79" s="4" t="s">
        <v>230</v>
      </c>
    </row>
    <row r="80" spans="1:16" ht="23.85">
      <c r="A80" s="9" t="s">
        <v>810</v>
      </c>
      <c r="B80" s="9" t="s">
        <v>92</v>
      </c>
      <c r="C80" s="4" t="s">
        <v>93</v>
      </c>
      <c r="D80" s="9" t="s">
        <v>86</v>
      </c>
      <c r="E80" s="4" t="s">
        <v>811</v>
      </c>
      <c r="F80" s="4" t="s">
        <v>812</v>
      </c>
      <c r="G80" s="4" t="s">
        <v>813</v>
      </c>
      <c r="H80" s="4" t="s">
        <v>814</v>
      </c>
      <c r="I80" s="4" t="s">
        <v>535</v>
      </c>
      <c r="J80" s="4" t="s">
        <v>334</v>
      </c>
      <c r="K80" s="4" t="s">
        <v>815</v>
      </c>
      <c r="L80" s="4" t="s">
        <v>816</v>
      </c>
      <c r="M80" s="2">
        <v>2</v>
      </c>
      <c r="N80" s="9" t="s">
        <v>151</v>
      </c>
      <c r="O80" s="4" t="s">
        <v>817</v>
      </c>
      <c r="P80" s="4" t="s">
        <v>230</v>
      </c>
    </row>
    <row r="81" spans="1:16" ht="23.85">
      <c r="A81" s="9" t="s">
        <v>818</v>
      </c>
      <c r="B81" s="9" t="s">
        <v>99</v>
      </c>
      <c r="C81" s="4" t="s">
        <v>100</v>
      </c>
      <c r="D81" s="9" t="s">
        <v>86</v>
      </c>
      <c r="E81" s="4" t="s">
        <v>819</v>
      </c>
      <c r="F81" s="4" t="s">
        <v>820</v>
      </c>
      <c r="G81" s="4" t="s">
        <v>821</v>
      </c>
      <c r="H81" s="4" t="s">
        <v>822</v>
      </c>
      <c r="I81" s="4" t="s">
        <v>245</v>
      </c>
      <c r="J81" s="4" t="s">
        <v>823</v>
      </c>
      <c r="K81" s="4" t="s">
        <v>824</v>
      </c>
      <c r="L81" s="4" t="s">
        <v>825</v>
      </c>
      <c r="M81" s="2">
        <v>2</v>
      </c>
      <c r="N81" s="9" t="s">
        <v>151</v>
      </c>
      <c r="O81" s="4" t="s">
        <v>826</v>
      </c>
      <c r="P81" s="4" t="s">
        <v>153</v>
      </c>
    </row>
    <row r="82" spans="1:16" ht="23.85">
      <c r="A82" s="9" t="s">
        <v>827</v>
      </c>
      <c r="B82" s="9" t="s">
        <v>99</v>
      </c>
      <c r="C82" s="4" t="s">
        <v>100</v>
      </c>
      <c r="D82" s="9" t="s">
        <v>86</v>
      </c>
      <c r="E82" s="4" t="s">
        <v>819</v>
      </c>
      <c r="F82" s="4" t="s">
        <v>828</v>
      </c>
      <c r="G82" s="4" t="s">
        <v>829</v>
      </c>
      <c r="H82" s="4" t="s">
        <v>830</v>
      </c>
      <c r="I82" s="4" t="s">
        <v>216</v>
      </c>
      <c r="J82" s="4" t="s">
        <v>831</v>
      </c>
      <c r="K82" s="4" t="s">
        <v>468</v>
      </c>
      <c r="L82" s="4" t="s">
        <v>832</v>
      </c>
      <c r="M82" s="2">
        <v>2</v>
      </c>
      <c r="N82" s="9" t="s">
        <v>151</v>
      </c>
      <c r="O82" s="4" t="s">
        <v>833</v>
      </c>
      <c r="P82" s="4" t="s">
        <v>153</v>
      </c>
    </row>
    <row r="83" spans="1:16" ht="23.85">
      <c r="A83" s="9" t="s">
        <v>834</v>
      </c>
      <c r="B83" s="9" t="s">
        <v>99</v>
      </c>
      <c r="C83" s="4" t="s">
        <v>100</v>
      </c>
      <c r="D83" s="9" t="s">
        <v>86</v>
      </c>
      <c r="E83" s="4" t="s">
        <v>835</v>
      </c>
      <c r="F83" s="4" t="s">
        <v>836</v>
      </c>
      <c r="G83" s="4" t="s">
        <v>837</v>
      </c>
      <c r="H83" s="4" t="s">
        <v>838</v>
      </c>
      <c r="I83" s="4" t="s">
        <v>188</v>
      </c>
      <c r="J83" s="4" t="s">
        <v>839</v>
      </c>
      <c r="K83" s="4" t="s">
        <v>840</v>
      </c>
      <c r="L83" s="4" t="s">
        <v>841</v>
      </c>
      <c r="M83" s="2">
        <v>3</v>
      </c>
      <c r="N83" s="9" t="s">
        <v>151</v>
      </c>
      <c r="O83" s="4" t="s">
        <v>842</v>
      </c>
      <c r="P83" s="4" t="s">
        <v>153</v>
      </c>
    </row>
    <row r="84" spans="1:16" ht="23.85">
      <c r="A84" s="9" t="s">
        <v>843</v>
      </c>
      <c r="B84" s="9" t="s">
        <v>99</v>
      </c>
      <c r="C84" s="4" t="s">
        <v>100</v>
      </c>
      <c r="D84" s="9" t="s">
        <v>86</v>
      </c>
      <c r="E84" s="4" t="s">
        <v>835</v>
      </c>
      <c r="F84" s="4" t="s">
        <v>844</v>
      </c>
      <c r="G84" s="4" t="s">
        <v>845</v>
      </c>
      <c r="H84" s="4" t="s">
        <v>846</v>
      </c>
      <c r="I84" s="4" t="s">
        <v>500</v>
      </c>
      <c r="J84" s="4" t="s">
        <v>847</v>
      </c>
      <c r="K84" s="4" t="s">
        <v>848</v>
      </c>
      <c r="L84" s="4" t="s">
        <v>849</v>
      </c>
      <c r="M84" s="2">
        <v>2</v>
      </c>
      <c r="N84" s="9" t="s">
        <v>151</v>
      </c>
      <c r="O84" s="4" t="s">
        <v>850</v>
      </c>
      <c r="P84" s="4" t="s">
        <v>153</v>
      </c>
    </row>
    <row r="85" spans="1:16" ht="23.85">
      <c r="A85" s="9" t="s">
        <v>851</v>
      </c>
      <c r="B85" s="9" t="s">
        <v>99</v>
      </c>
      <c r="C85" s="4" t="s">
        <v>100</v>
      </c>
      <c r="D85" s="9" t="s">
        <v>86</v>
      </c>
      <c r="E85" s="4" t="s">
        <v>852</v>
      </c>
      <c r="F85" s="4" t="s">
        <v>853</v>
      </c>
      <c r="G85" s="4" t="s">
        <v>854</v>
      </c>
      <c r="H85" s="4" t="s">
        <v>855</v>
      </c>
      <c r="I85" s="4" t="s">
        <v>500</v>
      </c>
      <c r="J85" s="4" t="s">
        <v>563</v>
      </c>
      <c r="K85" s="4" t="s">
        <v>856</v>
      </c>
      <c r="L85" s="4" t="s">
        <v>857</v>
      </c>
      <c r="M85" s="2">
        <v>2</v>
      </c>
      <c r="N85" s="9" t="s">
        <v>151</v>
      </c>
      <c r="O85" s="4" t="s">
        <v>858</v>
      </c>
      <c r="P85" s="4" t="s">
        <v>153</v>
      </c>
    </row>
    <row r="86" spans="1:16" ht="23.85">
      <c r="A86" s="9" t="s">
        <v>859</v>
      </c>
      <c r="B86" s="9" t="s">
        <v>99</v>
      </c>
      <c r="C86" s="4" t="s">
        <v>100</v>
      </c>
      <c r="D86" s="9" t="s">
        <v>86</v>
      </c>
      <c r="E86" s="4" t="s">
        <v>852</v>
      </c>
      <c r="F86" s="4" t="s">
        <v>860</v>
      </c>
      <c r="G86" s="4" t="s">
        <v>861</v>
      </c>
      <c r="H86" s="4" t="s">
        <v>862</v>
      </c>
      <c r="I86" s="4" t="s">
        <v>535</v>
      </c>
      <c r="J86" s="4" t="s">
        <v>863</v>
      </c>
      <c r="K86" s="4" t="s">
        <v>864</v>
      </c>
      <c r="L86" s="4" t="s">
        <v>865</v>
      </c>
      <c r="M86" s="2">
        <v>2</v>
      </c>
      <c r="N86" s="9" t="s">
        <v>151</v>
      </c>
      <c r="O86" s="4" t="s">
        <v>866</v>
      </c>
      <c r="P86" s="4" t="s">
        <v>153</v>
      </c>
    </row>
    <row r="87" spans="1:16" ht="23.85">
      <c r="A87" s="9" t="s">
        <v>867</v>
      </c>
      <c r="B87" s="9" t="s">
        <v>99</v>
      </c>
      <c r="C87" s="4" t="s">
        <v>100</v>
      </c>
      <c r="D87" s="9" t="s">
        <v>86</v>
      </c>
      <c r="E87" s="4" t="s">
        <v>447</v>
      </c>
      <c r="F87" s="4" t="s">
        <v>868</v>
      </c>
      <c r="G87" s="4" t="s">
        <v>869</v>
      </c>
      <c r="H87" s="4" t="s">
        <v>870</v>
      </c>
      <c r="I87" s="4" t="s">
        <v>535</v>
      </c>
      <c r="J87" s="4" t="s">
        <v>871</v>
      </c>
      <c r="K87" s="4" t="s">
        <v>872</v>
      </c>
      <c r="L87" s="4" t="s">
        <v>547</v>
      </c>
      <c r="M87" s="2">
        <v>2</v>
      </c>
      <c r="N87" s="9" t="s">
        <v>151</v>
      </c>
      <c r="O87" s="4" t="s">
        <v>873</v>
      </c>
      <c r="P87" s="4" t="s">
        <v>153</v>
      </c>
    </row>
    <row r="88" spans="1:16" ht="23.85">
      <c r="A88" s="9" t="s">
        <v>874</v>
      </c>
      <c r="B88" s="9" t="s">
        <v>99</v>
      </c>
      <c r="C88" s="4" t="s">
        <v>100</v>
      </c>
      <c r="D88" s="9" t="s">
        <v>86</v>
      </c>
      <c r="E88" s="4" t="s">
        <v>875</v>
      </c>
      <c r="F88" s="4" t="s">
        <v>876</v>
      </c>
      <c r="G88" s="4" t="s">
        <v>877</v>
      </c>
      <c r="H88" s="4" t="s">
        <v>878</v>
      </c>
      <c r="I88" s="4" t="s">
        <v>553</v>
      </c>
      <c r="J88" s="4" t="s">
        <v>879</v>
      </c>
      <c r="K88" s="4" t="s">
        <v>880</v>
      </c>
      <c r="L88" s="4" t="s">
        <v>881</v>
      </c>
      <c r="M88" s="2">
        <v>3</v>
      </c>
      <c r="N88" s="9" t="s">
        <v>151</v>
      </c>
      <c r="O88" s="4" t="s">
        <v>882</v>
      </c>
      <c r="P88" s="4" t="s">
        <v>153</v>
      </c>
    </row>
    <row r="89" spans="1:16" ht="23.85">
      <c r="A89" s="9" t="s">
        <v>883</v>
      </c>
      <c r="B89" s="9" t="s">
        <v>99</v>
      </c>
      <c r="C89" s="4" t="s">
        <v>100</v>
      </c>
      <c r="D89" s="9" t="s">
        <v>86</v>
      </c>
      <c r="E89" s="4" t="s">
        <v>884</v>
      </c>
      <c r="F89" s="4" t="s">
        <v>885</v>
      </c>
      <c r="G89" s="4" t="s">
        <v>886</v>
      </c>
      <c r="H89" s="4" t="s">
        <v>887</v>
      </c>
      <c r="I89" s="4" t="s">
        <v>888</v>
      </c>
      <c r="J89" s="4" t="s">
        <v>370</v>
      </c>
      <c r="K89" s="4" t="s">
        <v>889</v>
      </c>
      <c r="L89" s="4" t="s">
        <v>890</v>
      </c>
      <c r="M89" s="2">
        <v>2</v>
      </c>
      <c r="N89" s="9" t="s">
        <v>151</v>
      </c>
      <c r="O89" s="4" t="s">
        <v>891</v>
      </c>
      <c r="P89" s="4" t="s">
        <v>230</v>
      </c>
    </row>
    <row r="90" spans="1:16" ht="23.85">
      <c r="A90" s="9" t="s">
        <v>892</v>
      </c>
      <c r="B90" s="9" t="s">
        <v>99</v>
      </c>
      <c r="C90" s="4" t="s">
        <v>100</v>
      </c>
      <c r="D90" s="9" t="s">
        <v>86</v>
      </c>
      <c r="E90" s="4" t="s">
        <v>884</v>
      </c>
      <c r="F90" s="4" t="s">
        <v>893</v>
      </c>
      <c r="G90" s="4" t="s">
        <v>894</v>
      </c>
      <c r="H90" s="4" t="s">
        <v>895</v>
      </c>
      <c r="I90" s="4" t="s">
        <v>896</v>
      </c>
      <c r="J90" s="4" t="s">
        <v>897</v>
      </c>
      <c r="K90" s="4" t="s">
        <v>898</v>
      </c>
      <c r="L90" s="4" t="s">
        <v>899</v>
      </c>
      <c r="M90" s="2">
        <v>1</v>
      </c>
      <c r="N90" s="9" t="s">
        <v>151</v>
      </c>
      <c r="O90" s="4" t="s">
        <v>900</v>
      </c>
      <c r="P90" s="4" t="s">
        <v>230</v>
      </c>
    </row>
    <row r="91" spans="1:16" ht="23.85">
      <c r="A91" s="9" t="s">
        <v>901</v>
      </c>
      <c r="B91" s="9" t="s">
        <v>99</v>
      </c>
      <c r="C91" s="4" t="s">
        <v>100</v>
      </c>
      <c r="D91" s="9" t="s">
        <v>86</v>
      </c>
      <c r="E91" s="4" t="s">
        <v>884</v>
      </c>
      <c r="F91" s="4" t="s">
        <v>902</v>
      </c>
      <c r="G91" s="4" t="s">
        <v>903</v>
      </c>
      <c r="H91" s="4" t="s">
        <v>904</v>
      </c>
      <c r="I91" s="4" t="s">
        <v>905</v>
      </c>
      <c r="J91" s="4" t="s">
        <v>483</v>
      </c>
      <c r="K91" s="4" t="s">
        <v>906</v>
      </c>
      <c r="L91" s="4" t="s">
        <v>907</v>
      </c>
      <c r="M91" s="2">
        <v>2</v>
      </c>
      <c r="N91" s="9" t="s">
        <v>151</v>
      </c>
      <c r="O91" s="4" t="s">
        <v>908</v>
      </c>
      <c r="P91" s="4" t="s">
        <v>230</v>
      </c>
    </row>
    <row r="92" spans="1:16" ht="23.85">
      <c r="A92" s="9" t="s">
        <v>909</v>
      </c>
      <c r="B92" s="9" t="s">
        <v>106</v>
      </c>
      <c r="C92" s="4" t="s">
        <v>107</v>
      </c>
      <c r="D92" s="9" t="s">
        <v>86</v>
      </c>
      <c r="E92" s="4" t="s">
        <v>910</v>
      </c>
      <c r="F92" s="4" t="s">
        <v>911</v>
      </c>
      <c r="G92" s="4" t="s">
        <v>912</v>
      </c>
      <c r="H92" s="4" t="s">
        <v>913</v>
      </c>
      <c r="I92" s="4" t="s">
        <v>158</v>
      </c>
      <c r="J92" s="4" t="s">
        <v>914</v>
      </c>
      <c r="K92" s="4" t="s">
        <v>915</v>
      </c>
      <c r="L92" s="4" t="s">
        <v>916</v>
      </c>
      <c r="M92" s="2">
        <v>3</v>
      </c>
      <c r="N92" s="9" t="s">
        <v>151</v>
      </c>
      <c r="O92" s="4" t="s">
        <v>917</v>
      </c>
      <c r="P92" s="4" t="s">
        <v>153</v>
      </c>
    </row>
    <row r="93" spans="1:16" ht="23.85">
      <c r="A93" s="9" t="s">
        <v>918</v>
      </c>
      <c r="B93" s="9" t="s">
        <v>106</v>
      </c>
      <c r="C93" s="4" t="s">
        <v>107</v>
      </c>
      <c r="D93" s="9" t="s">
        <v>86</v>
      </c>
      <c r="E93" s="4" t="s">
        <v>910</v>
      </c>
      <c r="F93" s="4" t="s">
        <v>919</v>
      </c>
      <c r="G93" s="4" t="s">
        <v>920</v>
      </c>
      <c r="H93" s="4" t="s">
        <v>921</v>
      </c>
      <c r="I93" s="4" t="s">
        <v>922</v>
      </c>
      <c r="J93" s="4" t="s">
        <v>923</v>
      </c>
      <c r="K93" s="4" t="s">
        <v>924</v>
      </c>
      <c r="L93" s="4" t="s">
        <v>925</v>
      </c>
      <c r="M93" s="2">
        <v>3</v>
      </c>
      <c r="N93" s="9" t="s">
        <v>151</v>
      </c>
      <c r="O93" s="4" t="s">
        <v>926</v>
      </c>
      <c r="P93" s="4" t="s">
        <v>153</v>
      </c>
    </row>
    <row r="94" spans="1:16" ht="23.85">
      <c r="A94" s="9" t="s">
        <v>927</v>
      </c>
      <c r="B94" s="9" t="s">
        <v>106</v>
      </c>
      <c r="C94" s="4" t="s">
        <v>107</v>
      </c>
      <c r="D94" s="9" t="s">
        <v>86</v>
      </c>
      <c r="E94" s="4" t="s">
        <v>910</v>
      </c>
      <c r="F94" s="4" t="s">
        <v>928</v>
      </c>
      <c r="G94" s="4" t="s">
        <v>929</v>
      </c>
      <c r="H94" s="4" t="s">
        <v>930</v>
      </c>
      <c r="I94" s="4" t="s">
        <v>931</v>
      </c>
      <c r="J94" s="4" t="s">
        <v>580</v>
      </c>
      <c r="K94" s="4" t="s">
        <v>932</v>
      </c>
      <c r="L94" s="4" t="s">
        <v>933</v>
      </c>
      <c r="M94" s="2">
        <v>2</v>
      </c>
      <c r="N94" s="9" t="s">
        <v>151</v>
      </c>
      <c r="O94" s="4" t="s">
        <v>934</v>
      </c>
      <c r="P94" s="4" t="s">
        <v>153</v>
      </c>
    </row>
    <row r="95" spans="1:16" ht="23.85">
      <c r="A95" s="9" t="s">
        <v>935</v>
      </c>
      <c r="B95" s="9" t="s">
        <v>106</v>
      </c>
      <c r="C95" s="4" t="s">
        <v>107</v>
      </c>
      <c r="D95" s="9" t="s">
        <v>86</v>
      </c>
      <c r="E95" s="4" t="s">
        <v>936</v>
      </c>
      <c r="F95" s="4" t="s">
        <v>937</v>
      </c>
      <c r="G95" s="4" t="s">
        <v>938</v>
      </c>
      <c r="H95" s="4" t="s">
        <v>939</v>
      </c>
      <c r="I95" s="4" t="s">
        <v>207</v>
      </c>
      <c r="J95" s="4" t="s">
        <v>580</v>
      </c>
      <c r="K95" s="4" t="s">
        <v>940</v>
      </c>
      <c r="L95" s="4" t="s">
        <v>941</v>
      </c>
      <c r="M95" s="2">
        <v>2</v>
      </c>
      <c r="N95" s="9" t="s">
        <v>151</v>
      </c>
      <c r="O95" s="4" t="s">
        <v>942</v>
      </c>
      <c r="P95" s="4" t="s">
        <v>153</v>
      </c>
    </row>
    <row r="96" spans="1:16" ht="23.85">
      <c r="A96" s="9" t="s">
        <v>943</v>
      </c>
      <c r="B96" s="9" t="s">
        <v>106</v>
      </c>
      <c r="C96" s="4" t="s">
        <v>107</v>
      </c>
      <c r="D96" s="9" t="s">
        <v>86</v>
      </c>
      <c r="E96" s="4" t="s">
        <v>936</v>
      </c>
      <c r="F96" s="4" t="s">
        <v>944</v>
      </c>
      <c r="G96" s="4" t="s">
        <v>945</v>
      </c>
      <c r="H96" s="4" t="s">
        <v>946</v>
      </c>
      <c r="I96" s="4" t="s">
        <v>931</v>
      </c>
      <c r="J96" s="4" t="s">
        <v>947</v>
      </c>
      <c r="K96" s="4" t="s">
        <v>948</v>
      </c>
      <c r="L96" s="4" t="s">
        <v>949</v>
      </c>
      <c r="M96" s="2">
        <v>2</v>
      </c>
      <c r="N96" s="9" t="s">
        <v>151</v>
      </c>
      <c r="O96" s="4" t="s">
        <v>950</v>
      </c>
      <c r="P96" s="4" t="s">
        <v>153</v>
      </c>
    </row>
    <row r="97" spans="1:16" ht="23.85">
      <c r="A97" s="9" t="s">
        <v>951</v>
      </c>
      <c r="B97" s="9" t="s">
        <v>106</v>
      </c>
      <c r="C97" s="4" t="s">
        <v>107</v>
      </c>
      <c r="D97" s="9" t="s">
        <v>86</v>
      </c>
      <c r="E97" s="4" t="s">
        <v>952</v>
      </c>
      <c r="F97" s="4" t="s">
        <v>953</v>
      </c>
      <c r="G97" s="4" t="s">
        <v>954</v>
      </c>
      <c r="H97" s="4" t="s">
        <v>955</v>
      </c>
      <c r="I97" s="4" t="s">
        <v>216</v>
      </c>
      <c r="J97" s="4" t="s">
        <v>956</v>
      </c>
      <c r="K97" s="4" t="s">
        <v>957</v>
      </c>
      <c r="L97" s="4" t="s">
        <v>958</v>
      </c>
      <c r="M97" s="2">
        <v>1</v>
      </c>
      <c r="N97" s="9" t="s">
        <v>172</v>
      </c>
      <c r="O97" s="4" t="s">
        <v>959</v>
      </c>
      <c r="P97" s="4" t="s">
        <v>153</v>
      </c>
    </row>
    <row r="98" spans="1:16" ht="23.85">
      <c r="A98" s="9" t="s">
        <v>960</v>
      </c>
      <c r="B98" s="9" t="s">
        <v>106</v>
      </c>
      <c r="C98" s="4" t="s">
        <v>107</v>
      </c>
      <c r="D98" s="9" t="s">
        <v>86</v>
      </c>
      <c r="E98" s="4" t="s">
        <v>936</v>
      </c>
      <c r="F98" s="4" t="s">
        <v>961</v>
      </c>
      <c r="G98" s="4" t="s">
        <v>962</v>
      </c>
      <c r="H98" s="4" t="s">
        <v>963</v>
      </c>
      <c r="I98" s="4" t="s">
        <v>931</v>
      </c>
      <c r="J98" s="4" t="s">
        <v>580</v>
      </c>
      <c r="K98" s="4" t="s">
        <v>964</v>
      </c>
      <c r="L98" s="4" t="s">
        <v>965</v>
      </c>
      <c r="M98" s="2">
        <v>1</v>
      </c>
      <c r="N98" s="9" t="s">
        <v>151</v>
      </c>
      <c r="O98" s="4" t="s">
        <v>966</v>
      </c>
      <c r="P98" s="4" t="s">
        <v>153</v>
      </c>
    </row>
    <row r="99" spans="1:16" ht="23.85">
      <c r="A99" s="9" t="s">
        <v>967</v>
      </c>
      <c r="B99" s="9" t="s">
        <v>106</v>
      </c>
      <c r="C99" s="4" t="s">
        <v>107</v>
      </c>
      <c r="D99" s="9" t="s">
        <v>86</v>
      </c>
      <c r="E99" s="4" t="s">
        <v>952</v>
      </c>
      <c r="F99" s="4" t="s">
        <v>968</v>
      </c>
      <c r="G99" s="4" t="s">
        <v>969</v>
      </c>
      <c r="H99" s="4" t="s">
        <v>970</v>
      </c>
      <c r="I99" s="4" t="s">
        <v>500</v>
      </c>
      <c r="J99" s="4" t="s">
        <v>563</v>
      </c>
      <c r="K99" s="4" t="s">
        <v>971</v>
      </c>
      <c r="L99" s="4" t="s">
        <v>972</v>
      </c>
      <c r="M99" s="2">
        <v>2</v>
      </c>
      <c r="N99" s="9" t="s">
        <v>151</v>
      </c>
      <c r="O99" s="4" t="s">
        <v>973</v>
      </c>
      <c r="P99" s="4" t="s">
        <v>153</v>
      </c>
    </row>
    <row r="100" spans="1:16" ht="23.85">
      <c r="A100" s="9" t="s">
        <v>974</v>
      </c>
      <c r="B100" s="9" t="s">
        <v>113</v>
      </c>
      <c r="C100" s="4" t="s">
        <v>114</v>
      </c>
      <c r="D100" s="9" t="s">
        <v>86</v>
      </c>
      <c r="E100" s="4" t="s">
        <v>975</v>
      </c>
      <c r="F100" s="4" t="s">
        <v>976</v>
      </c>
      <c r="G100" s="4" t="s">
        <v>977</v>
      </c>
      <c r="H100" s="4" t="s">
        <v>978</v>
      </c>
      <c r="I100" s="4" t="s">
        <v>264</v>
      </c>
      <c r="J100" s="4" t="s">
        <v>979</v>
      </c>
      <c r="K100" s="4" t="s">
        <v>980</v>
      </c>
      <c r="L100" s="4" t="s">
        <v>981</v>
      </c>
      <c r="M100" s="2">
        <v>1</v>
      </c>
      <c r="N100" s="9" t="s">
        <v>151</v>
      </c>
      <c r="O100" s="4" t="s">
        <v>982</v>
      </c>
      <c r="P100" s="4" t="s">
        <v>153</v>
      </c>
    </row>
    <row r="101" spans="1:16" ht="23.85">
      <c r="A101" s="9" t="s">
        <v>983</v>
      </c>
      <c r="B101" s="9" t="s">
        <v>113</v>
      </c>
      <c r="C101" s="4" t="s">
        <v>114</v>
      </c>
      <c r="D101" s="9" t="s">
        <v>86</v>
      </c>
      <c r="E101" s="4" t="s">
        <v>984</v>
      </c>
      <c r="F101" s="4" t="s">
        <v>985</v>
      </c>
      <c r="G101" s="4" t="s">
        <v>986</v>
      </c>
      <c r="H101" s="4" t="s">
        <v>987</v>
      </c>
      <c r="I101" s="4" t="s">
        <v>579</v>
      </c>
      <c r="J101" s="4" t="s">
        <v>988</v>
      </c>
      <c r="K101" s="4" t="s">
        <v>989</v>
      </c>
      <c r="L101" s="4" t="s">
        <v>990</v>
      </c>
      <c r="M101" s="2">
        <v>3</v>
      </c>
      <c r="N101" s="9" t="s">
        <v>151</v>
      </c>
      <c r="O101" s="4" t="s">
        <v>991</v>
      </c>
      <c r="P101" s="4" t="s">
        <v>153</v>
      </c>
    </row>
    <row r="102" spans="1:16" ht="23.85">
      <c r="A102" s="9" t="s">
        <v>992</v>
      </c>
      <c r="B102" s="9" t="s">
        <v>113</v>
      </c>
      <c r="C102" s="4" t="s">
        <v>114</v>
      </c>
      <c r="D102" s="9" t="s">
        <v>86</v>
      </c>
      <c r="E102" s="4" t="s">
        <v>993</v>
      </c>
      <c r="F102" s="4" t="s">
        <v>994</v>
      </c>
      <c r="G102" s="4" t="s">
        <v>995</v>
      </c>
      <c r="H102" s="4" t="s">
        <v>996</v>
      </c>
      <c r="I102" s="4" t="s">
        <v>931</v>
      </c>
      <c r="J102" s="4" t="s">
        <v>580</v>
      </c>
      <c r="K102" s="4" t="s">
        <v>997</v>
      </c>
      <c r="L102" s="4" t="s">
        <v>998</v>
      </c>
      <c r="M102" s="2">
        <v>2</v>
      </c>
      <c r="N102" s="9" t="s">
        <v>151</v>
      </c>
      <c r="O102" s="4" t="s">
        <v>999</v>
      </c>
      <c r="P102" s="4" t="s">
        <v>230</v>
      </c>
    </row>
    <row r="103" spans="1:16" ht="23.85">
      <c r="A103" s="9" t="s">
        <v>1000</v>
      </c>
      <c r="B103" s="9" t="s">
        <v>113</v>
      </c>
      <c r="C103" s="4" t="s">
        <v>114</v>
      </c>
      <c r="D103" s="9" t="s">
        <v>86</v>
      </c>
      <c r="E103" s="4" t="s">
        <v>993</v>
      </c>
      <c r="F103" s="4" t="s">
        <v>1001</v>
      </c>
      <c r="G103" s="4" t="s">
        <v>1002</v>
      </c>
      <c r="H103" s="4" t="s">
        <v>1003</v>
      </c>
      <c r="I103" s="4" t="s">
        <v>535</v>
      </c>
      <c r="J103" s="4" t="s">
        <v>334</v>
      </c>
      <c r="K103" s="4" t="s">
        <v>1004</v>
      </c>
      <c r="L103" s="4" t="s">
        <v>1005</v>
      </c>
      <c r="M103" s="2">
        <v>2</v>
      </c>
      <c r="N103" s="9" t="s">
        <v>151</v>
      </c>
      <c r="O103" s="4" t="s">
        <v>1006</v>
      </c>
      <c r="P103" s="4" t="s">
        <v>230</v>
      </c>
    </row>
    <row r="104" spans="1:16" ht="23.85">
      <c r="A104" s="9" t="s">
        <v>1007</v>
      </c>
      <c r="B104" s="9" t="s">
        <v>113</v>
      </c>
      <c r="C104" s="4" t="s">
        <v>114</v>
      </c>
      <c r="D104" s="9" t="s">
        <v>86</v>
      </c>
      <c r="E104" s="4" t="s">
        <v>993</v>
      </c>
      <c r="F104" s="4" t="s">
        <v>1008</v>
      </c>
      <c r="G104" s="4" t="s">
        <v>1009</v>
      </c>
      <c r="H104" s="4" t="s">
        <v>1010</v>
      </c>
      <c r="I104" s="4" t="s">
        <v>500</v>
      </c>
      <c r="J104" s="4" t="s">
        <v>563</v>
      </c>
      <c r="K104" s="4" t="s">
        <v>1011</v>
      </c>
      <c r="L104" s="4" t="s">
        <v>1012</v>
      </c>
      <c r="M104" s="2">
        <v>2</v>
      </c>
      <c r="N104" s="9" t="s">
        <v>151</v>
      </c>
      <c r="O104" s="4" t="s">
        <v>1013</v>
      </c>
      <c r="P104" s="4" t="s">
        <v>230</v>
      </c>
    </row>
    <row r="105" spans="1:16" ht="23.85">
      <c r="A105" s="9" t="s">
        <v>1014</v>
      </c>
      <c r="B105" s="9" t="s">
        <v>113</v>
      </c>
      <c r="C105" s="4" t="s">
        <v>114</v>
      </c>
      <c r="D105" s="9" t="s">
        <v>86</v>
      </c>
      <c r="E105" s="4" t="s">
        <v>984</v>
      </c>
      <c r="F105" s="4" t="s">
        <v>1015</v>
      </c>
      <c r="G105" s="4" t="s">
        <v>1016</v>
      </c>
      <c r="H105" s="4" t="s">
        <v>1017</v>
      </c>
      <c r="I105" s="4" t="s">
        <v>535</v>
      </c>
      <c r="J105" s="4" t="s">
        <v>334</v>
      </c>
      <c r="K105" s="4" t="s">
        <v>1018</v>
      </c>
      <c r="L105" s="4" t="s">
        <v>1019</v>
      </c>
      <c r="M105" s="2">
        <v>1</v>
      </c>
      <c r="N105" s="9" t="s">
        <v>151</v>
      </c>
      <c r="O105" s="4" t="s">
        <v>1020</v>
      </c>
      <c r="P105" s="4" t="s">
        <v>230</v>
      </c>
    </row>
    <row r="106" spans="1:16" ht="23.85">
      <c r="A106" s="9" t="s">
        <v>1021</v>
      </c>
      <c r="B106" s="9" t="s">
        <v>120</v>
      </c>
      <c r="C106" s="4" t="s">
        <v>121</v>
      </c>
      <c r="D106" s="9" t="s">
        <v>86</v>
      </c>
      <c r="E106" s="4" t="s">
        <v>1022</v>
      </c>
      <c r="F106" s="4" t="s">
        <v>1023</v>
      </c>
      <c r="G106" s="4" t="s">
        <v>1024</v>
      </c>
      <c r="H106" s="4" t="s">
        <v>1025</v>
      </c>
      <c r="I106" s="4" t="s">
        <v>1026</v>
      </c>
      <c r="J106" s="4" t="s">
        <v>1027</v>
      </c>
      <c r="K106" s="4" t="s">
        <v>1028</v>
      </c>
      <c r="L106" s="4" t="s">
        <v>1029</v>
      </c>
      <c r="M106" s="2">
        <v>3</v>
      </c>
      <c r="N106" s="9" t="s">
        <v>151</v>
      </c>
      <c r="O106" s="4" t="s">
        <v>1030</v>
      </c>
      <c r="P106" s="4" t="s">
        <v>153</v>
      </c>
    </row>
    <row r="107" spans="1:16" ht="23.85">
      <c r="A107" s="9" t="s">
        <v>1031</v>
      </c>
      <c r="B107" s="9" t="s">
        <v>120</v>
      </c>
      <c r="C107" s="4" t="s">
        <v>121</v>
      </c>
      <c r="D107" s="9" t="s">
        <v>86</v>
      </c>
      <c r="E107" s="4" t="s">
        <v>1022</v>
      </c>
      <c r="F107" s="4" t="s">
        <v>1032</v>
      </c>
      <c r="G107" s="4" t="s">
        <v>1033</v>
      </c>
      <c r="H107" s="4" t="s">
        <v>1034</v>
      </c>
      <c r="I107" s="4" t="s">
        <v>1035</v>
      </c>
      <c r="J107" s="4" t="s">
        <v>1036</v>
      </c>
      <c r="K107" s="4" t="s">
        <v>1037</v>
      </c>
      <c r="L107" s="4" t="s">
        <v>1038</v>
      </c>
      <c r="M107" s="2">
        <v>3</v>
      </c>
      <c r="N107" s="9" t="s">
        <v>151</v>
      </c>
      <c r="O107" s="4" t="s">
        <v>1039</v>
      </c>
      <c r="P107" s="4" t="s">
        <v>153</v>
      </c>
    </row>
    <row r="108" spans="1:16" ht="23.85">
      <c r="A108" s="9" t="s">
        <v>1040</v>
      </c>
      <c r="B108" s="9" t="s">
        <v>120</v>
      </c>
      <c r="C108" s="4" t="s">
        <v>121</v>
      </c>
      <c r="D108" s="9" t="s">
        <v>86</v>
      </c>
      <c r="E108" s="4" t="s">
        <v>1041</v>
      </c>
      <c r="F108" s="4" t="s">
        <v>1042</v>
      </c>
      <c r="G108" s="4" t="s">
        <v>1043</v>
      </c>
      <c r="H108" s="4" t="s">
        <v>1044</v>
      </c>
      <c r="I108" s="4" t="s">
        <v>1045</v>
      </c>
      <c r="J108" s="4" t="s">
        <v>1046</v>
      </c>
      <c r="K108" s="4" t="s">
        <v>1047</v>
      </c>
      <c r="L108" s="4" t="s">
        <v>1048</v>
      </c>
      <c r="M108" s="2">
        <v>3</v>
      </c>
      <c r="N108" s="9" t="s">
        <v>151</v>
      </c>
      <c r="O108" s="4" t="s">
        <v>1049</v>
      </c>
      <c r="P108" s="4" t="s">
        <v>153</v>
      </c>
    </row>
    <row r="109" spans="1:16" ht="23.85">
      <c r="A109" s="9" t="s">
        <v>1050</v>
      </c>
      <c r="B109" s="9" t="s">
        <v>120</v>
      </c>
      <c r="C109" s="4" t="s">
        <v>121</v>
      </c>
      <c r="D109" s="9" t="s">
        <v>86</v>
      </c>
      <c r="E109" s="4" t="s">
        <v>1041</v>
      </c>
      <c r="F109" s="4" t="s">
        <v>1051</v>
      </c>
      <c r="G109" s="4" t="s">
        <v>1052</v>
      </c>
      <c r="H109" s="4" t="s">
        <v>1053</v>
      </c>
      <c r="I109" s="4" t="s">
        <v>1054</v>
      </c>
      <c r="J109" s="4" t="s">
        <v>1055</v>
      </c>
      <c r="K109" s="4" t="s">
        <v>1056</v>
      </c>
      <c r="L109" s="4" t="s">
        <v>1057</v>
      </c>
      <c r="M109" s="2">
        <v>2</v>
      </c>
      <c r="N109" s="9" t="s">
        <v>151</v>
      </c>
      <c r="O109" s="4" t="s">
        <v>1058</v>
      </c>
      <c r="P109" s="4" t="s">
        <v>153</v>
      </c>
    </row>
    <row r="110" spans="1:16" ht="23.85">
      <c r="A110" s="9" t="s">
        <v>1059</v>
      </c>
      <c r="B110" s="9" t="s">
        <v>120</v>
      </c>
      <c r="C110" s="4" t="s">
        <v>121</v>
      </c>
      <c r="D110" s="9" t="s">
        <v>86</v>
      </c>
      <c r="E110" s="4" t="s">
        <v>1060</v>
      </c>
      <c r="F110" s="4" t="s">
        <v>1061</v>
      </c>
      <c r="G110" s="4" t="s">
        <v>1062</v>
      </c>
      <c r="H110" s="4" t="s">
        <v>1063</v>
      </c>
      <c r="I110" s="4" t="s">
        <v>1064</v>
      </c>
      <c r="J110" s="4" t="s">
        <v>1065</v>
      </c>
      <c r="K110" s="4" t="s">
        <v>1066</v>
      </c>
      <c r="L110" s="4" t="s">
        <v>1067</v>
      </c>
      <c r="M110" s="2">
        <v>2</v>
      </c>
      <c r="N110" s="9" t="s">
        <v>151</v>
      </c>
      <c r="O110" s="4" t="s">
        <v>1068</v>
      </c>
      <c r="P110" s="4" t="s">
        <v>174</v>
      </c>
    </row>
    <row r="111" spans="1:16" ht="23.85">
      <c r="A111" s="9" t="s">
        <v>1069</v>
      </c>
      <c r="B111" s="9" t="s">
        <v>120</v>
      </c>
      <c r="C111" s="4" t="s">
        <v>121</v>
      </c>
      <c r="D111" s="9" t="s">
        <v>86</v>
      </c>
      <c r="E111" s="4" t="s">
        <v>1060</v>
      </c>
      <c r="F111" s="4" t="s">
        <v>1070</v>
      </c>
      <c r="G111" s="4" t="s">
        <v>1071</v>
      </c>
      <c r="H111" s="4" t="s">
        <v>1072</v>
      </c>
      <c r="I111" s="4" t="s">
        <v>1073</v>
      </c>
      <c r="J111" s="4" t="s">
        <v>1074</v>
      </c>
      <c r="K111" s="4" t="s">
        <v>1075</v>
      </c>
      <c r="L111" s="4" t="s">
        <v>1076</v>
      </c>
      <c r="M111" s="2">
        <v>2</v>
      </c>
      <c r="N111" s="9" t="s">
        <v>151</v>
      </c>
      <c r="O111" s="4" t="s">
        <v>1077</v>
      </c>
      <c r="P111" s="4" t="s">
        <v>153</v>
      </c>
    </row>
    <row r="112" spans="1:16" ht="23.85">
      <c r="A112" s="9" t="s">
        <v>1078</v>
      </c>
      <c r="B112" s="9" t="s">
        <v>120</v>
      </c>
      <c r="C112" s="4" t="s">
        <v>121</v>
      </c>
      <c r="D112" s="9" t="s">
        <v>86</v>
      </c>
      <c r="E112" s="4" t="s">
        <v>1022</v>
      </c>
      <c r="F112" s="4" t="s">
        <v>1079</v>
      </c>
      <c r="G112" s="4" t="s">
        <v>1080</v>
      </c>
      <c r="H112" s="4" t="s">
        <v>1081</v>
      </c>
      <c r="I112" s="4" t="s">
        <v>1082</v>
      </c>
      <c r="J112" s="4" t="s">
        <v>1083</v>
      </c>
      <c r="K112" s="4" t="s">
        <v>1084</v>
      </c>
      <c r="L112" s="4" t="s">
        <v>1085</v>
      </c>
      <c r="M112" s="2">
        <v>1</v>
      </c>
      <c r="N112" s="9" t="s">
        <v>151</v>
      </c>
      <c r="O112" s="4" t="s">
        <v>1086</v>
      </c>
      <c r="P112" s="4" t="s">
        <v>153</v>
      </c>
    </row>
  </sheetData>
  <autoFilter ref="A3:P112" xr:uid="{00000000-0009-0000-0000-000002000000}"/>
  <mergeCells count="2">
    <mergeCell ref="A1:P1"/>
    <mergeCell ref="A2:P2"/>
  </mergeCells>
  <dataValidations count="1">
    <dataValidation type="list" sqref="M4:M112" xr:uid="{00000000-0002-0000-0200-000000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6"/>
  <sheetViews>
    <sheetView zoomScale="90" zoomScaleNormal="90" workbookViewId="0"/>
  </sheetViews>
  <sheetFormatPr defaultColWidth="8.7109375" defaultRowHeight="15"/>
  <cols>
    <col min="1" max="1" width="30" customWidth="1"/>
    <col min="2" max="2" width="24" customWidth="1"/>
    <col min="3" max="3" width="16" customWidth="1"/>
    <col min="4" max="4" width="42" customWidth="1"/>
    <col min="5" max="5" width="62" customWidth="1"/>
    <col min="6" max="6" width="4" customWidth="1"/>
    <col min="7" max="7" width="3" customWidth="1"/>
    <col min="8" max="8" width="36" customWidth="1"/>
    <col min="9" max="9" width="28" customWidth="1"/>
    <col min="10" max="10" width="26" customWidth="1"/>
    <col min="11" max="11" width="22" customWidth="1"/>
    <col min="12" max="12" width="18" customWidth="1"/>
    <col min="13" max="13" width="8" customWidth="1"/>
  </cols>
  <sheetData>
    <row r="1" spans="1:13" ht="27.75" customHeight="1">
      <c r="A1" s="47" t="s">
        <v>1087</v>
      </c>
      <c r="B1" s="47"/>
      <c r="C1" s="47"/>
      <c r="D1" s="47"/>
      <c r="E1" s="47"/>
      <c r="F1" s="47"/>
    </row>
    <row r="2" spans="1:13" ht="15" customHeight="1">
      <c r="A2" s="48" t="s">
        <v>1088</v>
      </c>
      <c r="B2" s="48"/>
      <c r="C2" s="48"/>
      <c r="D2" s="48"/>
      <c r="E2" s="48"/>
      <c r="F2" s="48"/>
    </row>
    <row r="3" spans="1:13">
      <c r="A3" s="13" t="s">
        <v>1089</v>
      </c>
      <c r="H3" s="14" t="s">
        <v>1090</v>
      </c>
      <c r="I3" s="14" t="s">
        <v>1091</v>
      </c>
      <c r="J3" s="14" t="s">
        <v>93</v>
      </c>
      <c r="K3" s="14" t="s">
        <v>107</v>
      </c>
      <c r="L3" s="14" t="s">
        <v>1092</v>
      </c>
      <c r="M3" s="14" t="s">
        <v>1093</v>
      </c>
    </row>
    <row r="4" spans="1:13">
      <c r="A4" s="5" t="s">
        <v>37</v>
      </c>
      <c r="B4" s="5" t="s">
        <v>38</v>
      </c>
      <c r="C4" s="5" t="s">
        <v>39</v>
      </c>
      <c r="D4" s="5" t="s">
        <v>40</v>
      </c>
      <c r="E4" s="5" t="s">
        <v>1094</v>
      </c>
      <c r="H4" s="4" t="s">
        <v>1095</v>
      </c>
      <c r="I4" s="4" t="s">
        <v>1096</v>
      </c>
      <c r="J4" s="4" t="s">
        <v>1097</v>
      </c>
      <c r="K4" s="4" t="s">
        <v>1098</v>
      </c>
      <c r="L4" s="4" t="s">
        <v>1099</v>
      </c>
      <c r="M4" s="4" t="s">
        <v>172</v>
      </c>
    </row>
    <row r="5" spans="1:13" ht="23.85">
      <c r="A5" s="1" t="s">
        <v>48</v>
      </c>
      <c r="B5" s="7" t="s">
        <v>49</v>
      </c>
      <c r="C5" s="7" t="s">
        <v>50</v>
      </c>
      <c r="D5" s="15">
        <v>0.12</v>
      </c>
      <c r="E5" s="4" t="s">
        <v>1100</v>
      </c>
      <c r="H5" s="4" t="s">
        <v>1101</v>
      </c>
      <c r="I5" s="4" t="s">
        <v>1102</v>
      </c>
      <c r="J5" s="4" t="s">
        <v>1103</v>
      </c>
      <c r="K5" s="4" t="s">
        <v>1104</v>
      </c>
      <c r="L5" s="4" t="s">
        <v>1105</v>
      </c>
      <c r="M5" s="4" t="s">
        <v>151</v>
      </c>
    </row>
    <row r="6" spans="1:13">
      <c r="A6" s="1" t="s">
        <v>56</v>
      </c>
      <c r="B6" s="7" t="s">
        <v>57</v>
      </c>
      <c r="C6" s="7" t="s">
        <v>50</v>
      </c>
      <c r="D6" s="15">
        <v>0.11</v>
      </c>
      <c r="E6" s="4" t="s">
        <v>1106</v>
      </c>
      <c r="H6" s="4" t="s">
        <v>1107</v>
      </c>
      <c r="I6" s="4" t="s">
        <v>1108</v>
      </c>
      <c r="J6" s="4" t="s">
        <v>1109</v>
      </c>
      <c r="K6" s="4" t="s">
        <v>1110</v>
      </c>
      <c r="L6" s="4" t="s">
        <v>1111</v>
      </c>
    </row>
    <row r="7" spans="1:13">
      <c r="A7" s="1" t="s">
        <v>63</v>
      </c>
      <c r="B7" s="7" t="s">
        <v>64</v>
      </c>
      <c r="C7" s="7" t="s">
        <v>50</v>
      </c>
      <c r="D7" s="15">
        <v>0.18</v>
      </c>
      <c r="E7" s="4" t="s">
        <v>1112</v>
      </c>
      <c r="H7" s="4" t="s">
        <v>1113</v>
      </c>
      <c r="I7" s="4" t="s">
        <v>1114</v>
      </c>
      <c r="J7" s="4" t="s">
        <v>1115</v>
      </c>
      <c r="L7" s="4" t="s">
        <v>1116</v>
      </c>
    </row>
    <row r="8" spans="1:13" ht="23.85">
      <c r="A8" s="1" t="s">
        <v>70</v>
      </c>
      <c r="B8" s="7" t="s">
        <v>71</v>
      </c>
      <c r="C8" s="7" t="s">
        <v>50</v>
      </c>
      <c r="D8" s="15">
        <v>0.15</v>
      </c>
      <c r="E8" s="4" t="s">
        <v>1117</v>
      </c>
      <c r="H8" s="4" t="s">
        <v>1118</v>
      </c>
      <c r="L8" s="4" t="s">
        <v>1119</v>
      </c>
    </row>
    <row r="9" spans="1:13" ht="23.85">
      <c r="A9" s="1" t="s">
        <v>77</v>
      </c>
      <c r="B9" s="7" t="s">
        <v>78</v>
      </c>
      <c r="C9" s="7" t="s">
        <v>50</v>
      </c>
      <c r="D9" s="15">
        <v>0.14000000000000001</v>
      </c>
      <c r="E9" s="4" t="s">
        <v>1120</v>
      </c>
      <c r="H9" s="4" t="s">
        <v>1121</v>
      </c>
      <c r="L9" s="4" t="s">
        <v>1122</v>
      </c>
    </row>
    <row r="10" spans="1:13">
      <c r="A10" s="10" t="s">
        <v>84</v>
      </c>
      <c r="B10" s="4" t="s">
        <v>85</v>
      </c>
      <c r="C10" s="4" t="s">
        <v>86</v>
      </c>
      <c r="D10" s="15">
        <v>0.05</v>
      </c>
      <c r="E10" s="4" t="s">
        <v>1123</v>
      </c>
    </row>
    <row r="11" spans="1:13">
      <c r="A11" s="10" t="s">
        <v>92</v>
      </c>
      <c r="B11" s="4" t="s">
        <v>93</v>
      </c>
      <c r="C11" s="4" t="s">
        <v>86</v>
      </c>
      <c r="D11" s="15">
        <v>0.05</v>
      </c>
      <c r="E11" s="4" t="s">
        <v>1124</v>
      </c>
    </row>
    <row r="12" spans="1:13" ht="23.85">
      <c r="A12" s="10" t="s">
        <v>99</v>
      </c>
      <c r="B12" s="4" t="s">
        <v>100</v>
      </c>
      <c r="C12" s="4" t="s">
        <v>86</v>
      </c>
      <c r="D12" s="15">
        <v>7.0000000000000007E-2</v>
      </c>
      <c r="E12" s="4" t="s">
        <v>1125</v>
      </c>
    </row>
    <row r="13" spans="1:13">
      <c r="A13" s="10" t="s">
        <v>106</v>
      </c>
      <c r="B13" s="4" t="s">
        <v>107</v>
      </c>
      <c r="C13" s="4" t="s">
        <v>86</v>
      </c>
      <c r="D13" s="15">
        <v>0.05</v>
      </c>
      <c r="E13" s="4" t="s">
        <v>1126</v>
      </c>
    </row>
    <row r="14" spans="1:13">
      <c r="A14" s="10" t="s">
        <v>113</v>
      </c>
      <c r="B14" s="4" t="s">
        <v>114</v>
      </c>
      <c r="C14" s="4" t="s">
        <v>86</v>
      </c>
      <c r="D14" s="15">
        <v>0.03</v>
      </c>
      <c r="E14" s="4" t="s">
        <v>1127</v>
      </c>
    </row>
    <row r="15" spans="1:13" ht="23.85">
      <c r="A15" s="10" t="s">
        <v>120</v>
      </c>
      <c r="B15" s="4" t="s">
        <v>121</v>
      </c>
      <c r="C15" s="4" t="s">
        <v>86</v>
      </c>
      <c r="D15" s="15">
        <v>0.05</v>
      </c>
      <c r="E15" s="4" t="s">
        <v>1128</v>
      </c>
    </row>
    <row r="16" spans="1:13">
      <c r="C16" s="10" t="s">
        <v>126</v>
      </c>
      <c r="D16" s="11">
        <f>SUM(D5:D15)</f>
        <v>1.0000000000000002</v>
      </c>
      <c r="E16" s="4" t="str">
        <f>IF(ABS(D16-1)&lt;0.0001,"OK: los pesos suman 100%","⚠ Los pesos deben sumar 100%")</f>
        <v>OK: los pesos suman 100%</v>
      </c>
    </row>
    <row r="17" spans="1:5">
      <c r="C17" s="10" t="s">
        <v>1129</v>
      </c>
      <c r="D17" s="16">
        <f>SUMIF(C5:C15,"Núcleo",D5:D15)</f>
        <v>0.7</v>
      </c>
      <c r="E17" s="4" t="str">
        <f>IF(MIN(D5:D9)&gt;MAX(D10:D15),"OK: cada dimensión núcleo pesa más que cualquier complementaria","⚠ Una complementaria pesa igual o más que una núcleo")</f>
        <v>OK: cada dimensión núcleo pesa más que cualquier complementaria</v>
      </c>
    </row>
    <row r="20" spans="1:5" ht="26.85">
      <c r="A20" s="13" t="s">
        <v>1130</v>
      </c>
    </row>
    <row r="21" spans="1:5">
      <c r="A21" s="5" t="s">
        <v>1131</v>
      </c>
      <c r="B21" s="5" t="s">
        <v>1132</v>
      </c>
      <c r="C21" s="5" t="s">
        <v>1133</v>
      </c>
    </row>
    <row r="22" spans="1:5" ht="46.35">
      <c r="A22" s="9">
        <v>0</v>
      </c>
      <c r="B22" s="4" t="s">
        <v>1134</v>
      </c>
      <c r="C22" s="4" t="s">
        <v>1135</v>
      </c>
    </row>
    <row r="23" spans="1:5" ht="57.4">
      <c r="A23" s="9">
        <v>1</v>
      </c>
      <c r="B23" s="4" t="s">
        <v>1136</v>
      </c>
      <c r="C23" s="4" t="s">
        <v>1137</v>
      </c>
    </row>
    <row r="24" spans="1:5" ht="46.35">
      <c r="A24" s="9">
        <v>2</v>
      </c>
      <c r="B24" s="4" t="s">
        <v>1138</v>
      </c>
      <c r="C24" s="4" t="s">
        <v>1139</v>
      </c>
    </row>
    <row r="25" spans="1:5" ht="68.650000000000006">
      <c r="A25" s="9">
        <v>3</v>
      </c>
      <c r="B25" s="4" t="s">
        <v>1140</v>
      </c>
      <c r="C25" s="4" t="s">
        <v>1141</v>
      </c>
    </row>
    <row r="26" spans="1:5" ht="57.4">
      <c r="A26" s="9" t="s">
        <v>1142</v>
      </c>
      <c r="B26" s="4" t="s">
        <v>1143</v>
      </c>
      <c r="C26" s="4" t="s">
        <v>1144</v>
      </c>
    </row>
    <row r="28" spans="1:5" ht="26.85">
      <c r="A28" s="13" t="s">
        <v>1145</v>
      </c>
    </row>
    <row r="29" spans="1:5">
      <c r="A29" s="5" t="s">
        <v>1146</v>
      </c>
      <c r="B29" s="5" t="s">
        <v>1147</v>
      </c>
      <c r="C29" s="5" t="s">
        <v>1148</v>
      </c>
      <c r="D29" s="5" t="s">
        <v>1149</v>
      </c>
      <c r="E29" s="5" t="s">
        <v>1150</v>
      </c>
    </row>
    <row r="30" spans="1:5" ht="23.85">
      <c r="A30" s="15">
        <v>0</v>
      </c>
      <c r="B30" s="10" t="s">
        <v>1151</v>
      </c>
      <c r="C30" s="9">
        <v>1</v>
      </c>
      <c r="D30" s="4" t="s">
        <v>1152</v>
      </c>
      <c r="E30" s="4" t="s">
        <v>1153</v>
      </c>
    </row>
    <row r="31" spans="1:5">
      <c r="A31" s="15">
        <v>0.2</v>
      </c>
      <c r="B31" s="10" t="s">
        <v>1154</v>
      </c>
      <c r="C31" s="9">
        <v>2</v>
      </c>
      <c r="D31" s="4" t="s">
        <v>1155</v>
      </c>
      <c r="E31" s="4" t="s">
        <v>1156</v>
      </c>
    </row>
    <row r="32" spans="1:5" ht="23.85">
      <c r="A32" s="15">
        <v>0.4</v>
      </c>
      <c r="B32" s="10" t="s">
        <v>1157</v>
      </c>
      <c r="C32" s="9">
        <v>3</v>
      </c>
      <c r="D32" s="4" t="s">
        <v>1158</v>
      </c>
      <c r="E32" s="4" t="s">
        <v>1159</v>
      </c>
    </row>
    <row r="33" spans="1:5" ht="23.85">
      <c r="A33" s="15">
        <v>0.6</v>
      </c>
      <c r="B33" s="10" t="s">
        <v>1160</v>
      </c>
      <c r="C33" s="9">
        <v>4</v>
      </c>
      <c r="D33" s="4" t="s">
        <v>1161</v>
      </c>
      <c r="E33" s="4" t="s">
        <v>1162</v>
      </c>
    </row>
    <row r="34" spans="1:5" ht="23.85">
      <c r="A34" s="15">
        <v>0.8</v>
      </c>
      <c r="B34" s="10" t="s">
        <v>1163</v>
      </c>
      <c r="C34" s="9">
        <v>5</v>
      </c>
      <c r="D34" s="4" t="s">
        <v>1164</v>
      </c>
      <c r="E34" s="4" t="s">
        <v>1165</v>
      </c>
    </row>
    <row r="36" spans="1:5" ht="26.85">
      <c r="A36" s="13" t="s">
        <v>1166</v>
      </c>
    </row>
    <row r="37" spans="1:5" ht="46.35">
      <c r="A37" s="4" t="s">
        <v>1167</v>
      </c>
      <c r="B37" s="15">
        <v>0.4</v>
      </c>
      <c r="C37" s="4" t="s">
        <v>1168</v>
      </c>
    </row>
    <row r="38" spans="1:5" ht="79.900000000000006">
      <c r="A38" s="4" t="s">
        <v>1169</v>
      </c>
      <c r="B38" s="17">
        <v>3</v>
      </c>
      <c r="C38" s="4" t="s">
        <v>1170</v>
      </c>
    </row>
    <row r="40" spans="1:5" ht="26.85">
      <c r="A40" s="13" t="s">
        <v>1171</v>
      </c>
    </row>
    <row r="41" spans="1:5" ht="23.85">
      <c r="A41" s="5" t="s">
        <v>1172</v>
      </c>
      <c r="B41" s="5" t="s">
        <v>1173</v>
      </c>
      <c r="C41" s="5" t="s">
        <v>1174</v>
      </c>
    </row>
    <row r="42" spans="1:5">
      <c r="A42" s="17">
        <v>1</v>
      </c>
      <c r="B42" s="10" t="s">
        <v>1175</v>
      </c>
      <c r="C42" s="4" t="s">
        <v>1176</v>
      </c>
    </row>
    <row r="43" spans="1:5">
      <c r="A43" s="17">
        <v>6</v>
      </c>
      <c r="B43" s="10" t="s">
        <v>1177</v>
      </c>
      <c r="C43" s="4" t="s">
        <v>1178</v>
      </c>
    </row>
    <row r="44" spans="1:5">
      <c r="A44" s="17">
        <v>16</v>
      </c>
      <c r="B44" s="10" t="s">
        <v>1179</v>
      </c>
      <c r="C44" s="4" t="s">
        <v>1180</v>
      </c>
    </row>
    <row r="45" spans="1:5">
      <c r="A45" s="17">
        <v>31</v>
      </c>
      <c r="B45" s="10" t="s">
        <v>1181</v>
      </c>
      <c r="C45" s="4" t="s">
        <v>1182</v>
      </c>
    </row>
    <row r="46" spans="1:5">
      <c r="A46" s="17">
        <v>61</v>
      </c>
      <c r="B46" s="10" t="s">
        <v>1183</v>
      </c>
      <c r="C46" s="4" t="s">
        <v>1184</v>
      </c>
    </row>
    <row r="48" spans="1:5">
      <c r="A48" s="13" t="s">
        <v>1185</v>
      </c>
    </row>
    <row r="49" spans="1:3" ht="113.45">
      <c r="A49" s="4" t="s">
        <v>1186</v>
      </c>
      <c r="B49" s="17">
        <v>8</v>
      </c>
      <c r="C49" s="4" t="s">
        <v>1187</v>
      </c>
    </row>
    <row r="51" spans="1:3" ht="26.85">
      <c r="A51" s="13" t="s">
        <v>1188</v>
      </c>
    </row>
    <row r="52" spans="1:3">
      <c r="A52" s="5" t="s">
        <v>1189</v>
      </c>
      <c r="B52" s="5" t="s">
        <v>1147</v>
      </c>
    </row>
    <row r="53" spans="1:3">
      <c r="A53" s="17">
        <v>0</v>
      </c>
      <c r="B53" s="10" t="s">
        <v>1190</v>
      </c>
    </row>
    <row r="54" spans="1:3">
      <c r="A54" s="17">
        <v>3</v>
      </c>
      <c r="B54" s="10" t="s">
        <v>1191</v>
      </c>
    </row>
    <row r="55" spans="1:3">
      <c r="A55" s="17">
        <v>6</v>
      </c>
      <c r="B55" s="10" t="s">
        <v>1192</v>
      </c>
    </row>
    <row r="56" spans="1:3">
      <c r="A56" s="17">
        <v>9</v>
      </c>
      <c r="B56" s="10" t="s">
        <v>1193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9"/>
  <sheetViews>
    <sheetView zoomScale="90" zoomScaleNormal="9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8" customWidth="1"/>
    <col min="2" max="2" width="7" customWidth="1"/>
    <col min="3" max="3" width="22" customWidth="1"/>
    <col min="4" max="4" width="58" customWidth="1"/>
    <col min="5" max="5" width="8" customWidth="1"/>
    <col min="6" max="6" width="10" customWidth="1"/>
    <col min="7" max="7" width="42" customWidth="1"/>
    <col min="8" max="9" width="9" customWidth="1"/>
    <col min="10" max="10" width="55" customWidth="1"/>
    <col min="11" max="11" width="12" customWidth="1"/>
  </cols>
  <sheetData>
    <row r="1" spans="1:11" ht="27.75" customHeight="1">
      <c r="A1" s="47" t="s">
        <v>1194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30" customHeight="1">
      <c r="A2" s="48" t="s">
        <v>1195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1" ht="15" customHeight="1">
      <c r="A4" s="33" t="s">
        <v>1196</v>
      </c>
      <c r="B4" s="33"/>
      <c r="C4" s="33"/>
      <c r="D4" s="17"/>
    </row>
    <row r="5" spans="1:11" ht="15" customHeight="1">
      <c r="A5" s="33" t="s">
        <v>1197</v>
      </c>
      <c r="B5" s="33"/>
      <c r="C5" s="33"/>
      <c r="D5" s="17"/>
    </row>
    <row r="6" spans="1:11" ht="15" customHeight="1">
      <c r="A6" s="33" t="s">
        <v>1198</v>
      </c>
      <c r="B6" s="33"/>
      <c r="C6" s="33"/>
      <c r="D6" s="17"/>
    </row>
    <row r="7" spans="1:11" ht="15" customHeight="1">
      <c r="A7" s="33" t="s">
        <v>1199</v>
      </c>
      <c r="B7" s="33"/>
      <c r="C7" s="33"/>
      <c r="D7" s="17"/>
    </row>
    <row r="8" spans="1:11" ht="15" customHeight="1">
      <c r="A8" s="33" t="s">
        <v>1200</v>
      </c>
      <c r="B8" s="33"/>
      <c r="C8" s="33"/>
      <c r="D8" s="17"/>
    </row>
    <row r="9" spans="1:11" ht="15" customHeight="1">
      <c r="A9" s="33" t="s">
        <v>1201</v>
      </c>
      <c r="B9" s="33"/>
      <c r="C9" s="33"/>
      <c r="D9" s="17"/>
    </row>
    <row r="10" spans="1:11" ht="15" customHeight="1">
      <c r="A10" s="33" t="s">
        <v>1202</v>
      </c>
      <c r="B10" s="33"/>
      <c r="C10" s="33"/>
      <c r="D10" s="17"/>
    </row>
    <row r="12" spans="1:11">
      <c r="A12" s="32" t="s">
        <v>1203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3" spans="1:11" ht="15" customHeight="1">
      <c r="A13" s="34" t="s">
        <v>38</v>
      </c>
      <c r="B13" s="34"/>
      <c r="C13" s="34"/>
      <c r="D13" s="5" t="s">
        <v>1204</v>
      </c>
      <c r="E13" s="34" t="s">
        <v>1205</v>
      </c>
      <c r="F13" s="34"/>
      <c r="G13" s="5" t="s">
        <v>1206</v>
      </c>
      <c r="H13" s="34" t="s">
        <v>1207</v>
      </c>
      <c r="I13" s="34"/>
      <c r="J13" s="34"/>
      <c r="K13" s="34"/>
    </row>
    <row r="14" spans="1:11" ht="15" customHeight="1">
      <c r="A14" s="45" t="s">
        <v>1208</v>
      </c>
      <c r="B14" s="45"/>
      <c r="C14" s="45"/>
      <c r="D14" s="4" t="s">
        <v>1209</v>
      </c>
      <c r="E14" s="43"/>
      <c r="F14" s="43"/>
      <c r="G14" s="10" t="str">
        <f>IF(SUM(E14:E17)=0,"Sin datos",INDEX(Parametros!$I$4:$I$7,MATCH(MAX(E14:E17),E14:E17,0)))</f>
        <v>Sin datos</v>
      </c>
      <c r="H14" s="41" t="s">
        <v>1210</v>
      </c>
      <c r="I14" s="41"/>
      <c r="J14" s="41"/>
      <c r="K14" s="41"/>
    </row>
    <row r="15" spans="1:11">
      <c r="A15" s="45"/>
      <c r="B15" s="45"/>
      <c r="C15" s="45"/>
      <c r="D15" s="4" t="s">
        <v>1211</v>
      </c>
      <c r="E15" s="43"/>
      <c r="F15" s="43"/>
      <c r="G15" s="10" t="str">
        <f>IF(COUNT(E14:E17)=0,"",IF(ABS(SUM(E14:E17)-1)&lt;0.001,"Composición suma 100%","⚠ La composición no suma 100%"))</f>
        <v/>
      </c>
      <c r="H15" s="41"/>
      <c r="I15" s="41"/>
      <c r="J15" s="41"/>
      <c r="K15" s="41"/>
    </row>
    <row r="16" spans="1:11">
      <c r="A16" s="45"/>
      <c r="B16" s="45"/>
      <c r="C16" s="45"/>
      <c r="D16" s="4" t="s">
        <v>1212</v>
      </c>
      <c r="E16" s="43"/>
      <c r="F16" s="43"/>
      <c r="G16" s="10"/>
      <c r="H16" s="41"/>
      <c r="I16" s="41"/>
      <c r="J16" s="41"/>
      <c r="K16" s="41"/>
    </row>
    <row r="17" spans="1:11">
      <c r="A17" s="45"/>
      <c r="B17" s="45"/>
      <c r="C17" s="45"/>
      <c r="D17" s="4" t="s">
        <v>1213</v>
      </c>
      <c r="E17" s="43"/>
      <c r="F17" s="43"/>
      <c r="G17" s="10"/>
      <c r="H17" s="41"/>
      <c r="I17" s="41"/>
      <c r="J17" s="41"/>
      <c r="K17" s="41"/>
    </row>
    <row r="18" spans="1:11" ht="15" customHeight="1">
      <c r="A18" s="45" t="s">
        <v>1214</v>
      </c>
      <c r="B18" s="45"/>
      <c r="C18" s="45"/>
      <c r="D18" s="4" t="s">
        <v>1215</v>
      </c>
      <c r="E18" s="40"/>
      <c r="F18" s="40"/>
      <c r="G18" s="10" t="str">
        <f>IF(E18="","Sin asignar",E18)</f>
        <v>Sin asignar</v>
      </c>
      <c r="H18" s="41" t="s">
        <v>1216</v>
      </c>
      <c r="I18" s="41"/>
      <c r="J18" s="41"/>
      <c r="K18" s="41"/>
    </row>
    <row r="19" spans="1:11">
      <c r="A19" s="45"/>
      <c r="B19" s="45"/>
      <c r="C19" s="45"/>
      <c r="D19" s="4" t="s">
        <v>1217</v>
      </c>
      <c r="E19" s="40"/>
      <c r="F19" s="40"/>
      <c r="G19" s="10"/>
      <c r="H19" s="41"/>
      <c r="I19" s="41"/>
      <c r="J19" s="41"/>
      <c r="K19" s="41"/>
    </row>
    <row r="20" spans="1:11">
      <c r="A20" s="45"/>
      <c r="B20" s="45"/>
      <c r="C20" s="45"/>
      <c r="D20" s="4" t="s">
        <v>1218</v>
      </c>
      <c r="E20" s="43"/>
      <c r="F20" s="43"/>
      <c r="G20" s="10" t="str">
        <f>IF(E20="","",IF(E20&gt;=0.5,"Predominio claro","Predominio débil: revisar secundarios"))</f>
        <v/>
      </c>
      <c r="H20" s="41"/>
      <c r="I20" s="41"/>
      <c r="J20" s="41"/>
      <c r="K20" s="41"/>
    </row>
    <row r="21" spans="1:11" ht="15" customHeight="1">
      <c r="A21" s="45" t="s">
        <v>1219</v>
      </c>
      <c r="B21" s="45"/>
      <c r="C21" s="45"/>
      <c r="D21" s="4" t="s">
        <v>1220</v>
      </c>
      <c r="E21" s="42"/>
      <c r="F21" s="42"/>
      <c r="G21" s="10" t="str">
        <f>IF(N(E21)=0,"Sin datos","Clase "&amp;LOOKUP(E21,Parametros!$A$42:$A$46,Parametros!$B$42:$B$46))</f>
        <v>Sin datos</v>
      </c>
      <c r="H21" s="41" t="s">
        <v>1221</v>
      </c>
      <c r="I21" s="41"/>
      <c r="J21" s="41"/>
      <c r="K21" s="41"/>
    </row>
    <row r="22" spans="1:11">
      <c r="A22" s="45"/>
      <c r="B22" s="45"/>
      <c r="C22" s="45"/>
      <c r="D22" s="4" t="s">
        <v>1222</v>
      </c>
      <c r="E22" s="46"/>
      <c r="F22" s="46"/>
      <c r="G22" s="10" t="str">
        <f>IF(N(E21)=0,"","≈ "&amp;TEXT(E21*IF(N(E22)=0,Parametros!$B$49,E22),"0")&amp;" PF (aproximación)")</f>
        <v/>
      </c>
      <c r="H22" s="41"/>
      <c r="I22" s="41"/>
      <c r="J22" s="41"/>
      <c r="K22" s="41"/>
    </row>
    <row r="23" spans="1:11">
      <c r="A23" s="45"/>
      <c r="B23" s="45"/>
      <c r="C23" s="45"/>
      <c r="D23" s="4" t="s">
        <v>1223</v>
      </c>
      <c r="E23" s="42"/>
      <c r="F23" s="42"/>
      <c r="G23" s="10" t="str">
        <f>IF(N(E23)=0,"Sin medición detallada","Medido: "&amp;E23&amp;" PF")</f>
        <v>Sin medición detallada</v>
      </c>
      <c r="H23" s="41"/>
      <c r="I23" s="41"/>
      <c r="J23" s="41"/>
      <c r="K23" s="41"/>
    </row>
    <row r="24" spans="1:11" ht="15" customHeight="1">
      <c r="A24" s="45" t="s">
        <v>1224</v>
      </c>
      <c r="B24" s="45"/>
      <c r="C24" s="45"/>
      <c r="D24" s="4" t="s">
        <v>1225</v>
      </c>
      <c r="E24" s="42"/>
      <c r="F24" s="42"/>
      <c r="G24" s="10" t="str">
        <f>IF(COUNT(E24:E28)=0,"Sin datos","Puntaje "&amp;SUM(E24:E28)&amp;" / 10")</f>
        <v>Sin datos</v>
      </c>
      <c r="H24" s="41" t="s">
        <v>1226</v>
      </c>
      <c r="I24" s="41"/>
      <c r="J24" s="41"/>
      <c r="K24" s="41"/>
    </row>
    <row r="25" spans="1:11" ht="23.85">
      <c r="A25" s="45"/>
      <c r="B25" s="45"/>
      <c r="C25" s="45"/>
      <c r="D25" s="4" t="s">
        <v>1227</v>
      </c>
      <c r="E25" s="42"/>
      <c r="F25" s="42"/>
      <c r="G25" s="10" t="str">
        <f>IF(COUNT(E24:E28)=0,"","Complejidad "&amp;LOOKUP(SUM(E24:E28),Parametros!$A$53:$A$56,Parametros!$B$53:$B$56))</f>
        <v/>
      </c>
      <c r="H25" s="41"/>
      <c r="I25" s="41"/>
      <c r="J25" s="41"/>
      <c r="K25" s="41"/>
    </row>
    <row r="26" spans="1:11">
      <c r="A26" s="45"/>
      <c r="B26" s="45"/>
      <c r="C26" s="45"/>
      <c r="D26" s="4" t="s">
        <v>1228</v>
      </c>
      <c r="E26" s="42"/>
      <c r="F26" s="42"/>
      <c r="G26" s="10"/>
      <c r="H26" s="41"/>
      <c r="I26" s="41"/>
      <c r="J26" s="41"/>
      <c r="K26" s="41"/>
    </row>
    <row r="27" spans="1:11">
      <c r="A27" s="45"/>
      <c r="B27" s="45"/>
      <c r="C27" s="45"/>
      <c r="D27" s="4" t="s">
        <v>1229</v>
      </c>
      <c r="E27" s="42"/>
      <c r="F27" s="42"/>
      <c r="G27" s="10"/>
      <c r="H27" s="41"/>
      <c r="I27" s="41"/>
      <c r="J27" s="41"/>
      <c r="K27" s="41"/>
    </row>
    <row r="28" spans="1:11">
      <c r="A28" s="45"/>
      <c r="B28" s="45"/>
      <c r="C28" s="45"/>
      <c r="D28" s="4" t="s">
        <v>1230</v>
      </c>
      <c r="E28" s="42"/>
      <c r="F28" s="42"/>
      <c r="G28" s="10"/>
      <c r="H28" s="41"/>
      <c r="I28" s="41"/>
      <c r="J28" s="41"/>
      <c r="K28" s="41"/>
    </row>
    <row r="29" spans="1:11" ht="15" customHeight="1">
      <c r="A29" s="45" t="s">
        <v>1231</v>
      </c>
      <c r="B29" s="45"/>
      <c r="C29" s="45"/>
      <c r="D29" s="4" t="s">
        <v>1232</v>
      </c>
      <c r="E29" s="42"/>
      <c r="F29" s="42"/>
      <c r="G29" s="10" t="str">
        <f>IF(E29="","Sin datos",IF(E29=0,"I0 - Sin interfaces",IF(OR(E29&gt;5,E31="Sí"),"I3 - Alta",IF(OR(E29&gt;=3,E30="Sí"),"I2 - Media","I1 - Baja"))))</f>
        <v>Sin datos</v>
      </c>
      <c r="H29" s="41" t="s">
        <v>1233</v>
      </c>
      <c r="I29" s="41"/>
      <c r="J29" s="41"/>
      <c r="K29" s="41"/>
    </row>
    <row r="30" spans="1:11">
      <c r="A30" s="45"/>
      <c r="B30" s="45"/>
      <c r="C30" s="45"/>
      <c r="D30" s="4" t="s">
        <v>1234</v>
      </c>
      <c r="E30" s="40"/>
      <c r="F30" s="40"/>
      <c r="G30" s="10"/>
      <c r="H30" s="41"/>
      <c r="I30" s="41"/>
      <c r="J30" s="41"/>
      <c r="K30" s="41"/>
    </row>
    <row r="31" spans="1:11">
      <c r="A31" s="45"/>
      <c r="B31" s="45"/>
      <c r="C31" s="45"/>
      <c r="D31" s="4" t="s">
        <v>1235</v>
      </c>
      <c r="E31" s="40"/>
      <c r="F31" s="40"/>
      <c r="G31" s="10"/>
      <c r="H31" s="41"/>
      <c r="I31" s="41"/>
      <c r="J31" s="41"/>
      <c r="K31" s="41"/>
    </row>
    <row r="32" spans="1:11" ht="15" customHeight="1">
      <c r="A32" s="39" t="s">
        <v>1236</v>
      </c>
      <c r="B32" s="39"/>
      <c r="C32" s="39"/>
      <c r="D32" s="4" t="s">
        <v>1237</v>
      </c>
      <c r="E32" s="43"/>
      <c r="F32" s="43"/>
      <c r="G32" s="10" t="str">
        <f>IF(E32="","Sin datos",IF(E32&gt;0.7,"R1 - Alta reutilización",IF(E32&gt;=0.4,"R2 - Media",IF(E32&gt;=0.1,"R3 - Baja","R4 - Nuevo"))))</f>
        <v>Sin datos</v>
      </c>
      <c r="H32" s="41" t="s">
        <v>1238</v>
      </c>
      <c r="I32" s="41"/>
      <c r="J32" s="41"/>
      <c r="K32" s="41"/>
    </row>
    <row r="33" spans="1:11" ht="15" customHeight="1">
      <c r="A33" s="39" t="s">
        <v>1239</v>
      </c>
      <c r="B33" s="39"/>
      <c r="C33" s="39"/>
      <c r="D33" s="4" t="s">
        <v>1240</v>
      </c>
      <c r="E33" s="40"/>
      <c r="F33" s="40"/>
      <c r="G33" s="10" t="str">
        <f>IF(E33="","Sin datos",E33)</f>
        <v>Sin datos</v>
      </c>
      <c r="H33" s="41" t="s">
        <v>1241</v>
      </c>
      <c r="I33" s="41"/>
      <c r="J33" s="41"/>
      <c r="K33" s="41"/>
    </row>
    <row r="34" spans="1:11" ht="23.85" customHeight="1">
      <c r="A34" s="39" t="s">
        <v>1242</v>
      </c>
      <c r="B34" s="39"/>
      <c r="C34" s="39"/>
      <c r="D34" s="4" t="s">
        <v>1243</v>
      </c>
      <c r="E34" s="44">
        <f>COUNTIF(F165:F172,"&gt;=2")</f>
        <v>0</v>
      </c>
      <c r="F34" s="44"/>
      <c r="G34" s="10" t="str">
        <f>IF(COUNT(F165:F172)=0,"Sin datos",IF(E34&lt;=2,"M1 - Idea",IF(E34&lt;=4,"M2 - Preliminar",IF(E34&lt;=6,"M3 - Definido","M4 - Validado"))))</f>
        <v>Sin datos</v>
      </c>
      <c r="H34" s="41" t="s">
        <v>1244</v>
      </c>
      <c r="I34" s="41"/>
      <c r="J34" s="41"/>
      <c r="K34" s="41"/>
    </row>
    <row r="35" spans="1:11" ht="15" customHeight="1">
      <c r="A35" s="39" t="s">
        <v>1245</v>
      </c>
      <c r="B35" s="39"/>
      <c r="C35" s="39"/>
      <c r="D35" s="4" t="s">
        <v>1246</v>
      </c>
      <c r="E35" s="40"/>
      <c r="F35" s="40"/>
      <c r="G35" s="10" t="str">
        <f>IF(E35="","Sin datos",E35)</f>
        <v>Sin datos</v>
      </c>
      <c r="H35" s="41" t="s">
        <v>110</v>
      </c>
      <c r="I35" s="41"/>
      <c r="J35" s="41"/>
      <c r="K35" s="41"/>
    </row>
    <row r="36" spans="1:11" ht="15" customHeight="1">
      <c r="A36" s="39" t="s">
        <v>1247</v>
      </c>
      <c r="B36" s="39"/>
      <c r="C36" s="39"/>
      <c r="D36" s="4" t="s">
        <v>1248</v>
      </c>
      <c r="E36" s="40"/>
      <c r="F36" s="40"/>
      <c r="G36" s="10" t="str">
        <f>IF(E36="","Sin datos",E36)</f>
        <v>Sin datos</v>
      </c>
      <c r="H36" s="41" t="s">
        <v>117</v>
      </c>
      <c r="I36" s="41"/>
      <c r="J36" s="41"/>
      <c r="K36" s="41"/>
    </row>
    <row r="37" spans="1:11" ht="15" customHeight="1">
      <c r="A37" s="39" t="s">
        <v>1249</v>
      </c>
      <c r="B37" s="39"/>
      <c r="C37" s="39"/>
      <c r="D37" s="4" t="s">
        <v>1250</v>
      </c>
      <c r="E37" s="42"/>
      <c r="F37" s="42"/>
      <c r="G37" s="10" t="str">
        <f>IF(E37="","Sin datos",IF(E37&lt;=1,"E1 - Muy baja",IF(E37&lt;=3,"E2 - Baja",IF(E37&lt;=7,"E3 - Media","E4 - Alta"))))</f>
        <v>Sin datos</v>
      </c>
      <c r="H37" s="41" t="s">
        <v>124</v>
      </c>
      <c r="I37" s="41"/>
      <c r="J37" s="41"/>
      <c r="K37" s="41"/>
    </row>
    <row r="40" spans="1:11">
      <c r="A40" s="32" t="s">
        <v>1251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spans="1:11" ht="46.35" customHeight="1">
      <c r="A41" s="34" t="s">
        <v>38</v>
      </c>
      <c r="B41" s="34"/>
      <c r="C41" s="34"/>
      <c r="D41" s="5" t="s">
        <v>1252</v>
      </c>
      <c r="E41" s="5" t="s">
        <v>40</v>
      </c>
      <c r="F41" s="5" t="s">
        <v>1253</v>
      </c>
      <c r="G41" s="5" t="s">
        <v>1147</v>
      </c>
      <c r="H41" s="5" t="s">
        <v>39</v>
      </c>
      <c r="I41" s="5" t="s">
        <v>1254</v>
      </c>
      <c r="J41" s="5" t="s">
        <v>1255</v>
      </c>
    </row>
    <row r="42" spans="1:11" ht="42" customHeight="1">
      <c r="A42" s="35" t="s">
        <v>1208</v>
      </c>
      <c r="B42" s="35"/>
      <c r="C42" s="35"/>
      <c r="D42" s="4" t="str">
        <f>IF(MAX(K81:K92)=0,"Sin brechas relevantes",INDEX(J81:J92,MATCH(MAX(K81:K92),K81:K92,0)))</f>
        <v>Sin evaluar (núcleo, cuenta como 0) – Frontera del software definida</v>
      </c>
      <c r="E42" s="8">
        <f>Parametros!D5</f>
        <v>0.12</v>
      </c>
      <c r="F42" s="18">
        <f>IF(SUMIF($B$80:$B$240,"D1",$I$80:$I$240)=0,0,SUMIF($B$80:$B$240,"D1",$H$80:$H$240)/SUMIF($B$80:$B$240,"D1",$I$80:$I$240))</f>
        <v>0</v>
      </c>
      <c r="G42" s="9" t="str">
        <f>IF(J42="No","No evaluada",INDEX(Parametros!$B$30:$B$34,MATCH(F42,Parametros!$A$30:$A$34,1)))</f>
        <v>N1 - Incipiente</v>
      </c>
      <c r="H42" s="19" t="str">
        <f>Parametros!C5</f>
        <v>Núcleo</v>
      </c>
      <c r="I42" s="20">
        <f>IF(J42="No",0,E42*F42/SUMPRODUCT($E$42:$E$52*($J$42:$J$52="Sí")))</f>
        <v>0</v>
      </c>
      <c r="J42" s="9" t="str">
        <f>"Sí"</f>
        <v>Sí</v>
      </c>
    </row>
    <row r="43" spans="1:11" ht="42" customHeight="1">
      <c r="A43" s="35" t="s">
        <v>1214</v>
      </c>
      <c r="B43" s="35"/>
      <c r="C43" s="35"/>
      <c r="D43" s="4" t="str">
        <f>IF(MAX(K94:K105)=0,"Sin brechas relevantes",INDEX(J94:J105,MATCH(MAX(K94:K105),K94:K105,0)))</f>
        <v>Sin evaluar (núcleo, cuenta como 0) – Drivers del arquetipo principal</v>
      </c>
      <c r="E43" s="8">
        <f>Parametros!D6</f>
        <v>0.11</v>
      </c>
      <c r="F43" s="18">
        <f>IF(SUMIF($B$80:$B$240,"D2",$I$80:$I$240)=0,0,SUMIF($B$80:$B$240,"D2",$H$80:$H$240)/SUMIF($B$80:$B$240,"D2",$I$80:$I$240))</f>
        <v>0</v>
      </c>
      <c r="G43" s="9" t="str">
        <f>IF(J43="No","No evaluada",INDEX(Parametros!$B$30:$B$34,MATCH(F43,Parametros!$A$30:$A$34,1)))</f>
        <v>N1 - Incipiente</v>
      </c>
      <c r="H43" s="19" t="str">
        <f>Parametros!C6</f>
        <v>Núcleo</v>
      </c>
      <c r="I43" s="20">
        <f>IF(J43="No",0,E43*F43/SUMPRODUCT($E$42:$E$52*($J$42:$J$52="Sí")))</f>
        <v>0</v>
      </c>
      <c r="J43" s="9" t="str">
        <f>"Sí"</f>
        <v>Sí</v>
      </c>
    </row>
    <row r="44" spans="1:11" ht="42" customHeight="1">
      <c r="A44" s="35" t="s">
        <v>1219</v>
      </c>
      <c r="B44" s="35"/>
      <c r="C44" s="35"/>
      <c r="D44" s="4" t="str">
        <f>IF(MAX(K107:K120)=0,"Sin brechas relevantes",INDEX(J107:J120,MATCH(MAX(K107:K120),K107:K120,0)))</f>
        <v>Sin evaluar (núcleo, cuenta como 0) – Unidad objetiva y clase de tamaño</v>
      </c>
      <c r="E44" s="8">
        <f>Parametros!D7</f>
        <v>0.18</v>
      </c>
      <c r="F44" s="18">
        <f>IF(SUMIF($B$80:$B$240,"D3",$I$80:$I$240)=0,0,SUMIF($B$80:$B$240,"D3",$H$80:$H$240)/SUMIF($B$80:$B$240,"D3",$I$80:$I$240))</f>
        <v>0</v>
      </c>
      <c r="G44" s="9" t="str">
        <f>IF(J44="No","No evaluada",INDEX(Parametros!$B$30:$B$34,MATCH(F44,Parametros!$A$30:$A$34,1)))</f>
        <v>N1 - Incipiente</v>
      </c>
      <c r="H44" s="19" t="str">
        <f>Parametros!C7</f>
        <v>Núcleo</v>
      </c>
      <c r="I44" s="20">
        <f>IF(J44="No",0,E44*F44/SUMPRODUCT($E$42:$E$52*($J$42:$J$52="Sí")))</f>
        <v>0</v>
      </c>
      <c r="J44" s="9" t="str">
        <f>"Sí"</f>
        <v>Sí</v>
      </c>
    </row>
    <row r="45" spans="1:11" ht="42" customHeight="1">
      <c r="A45" s="35" t="s">
        <v>1224</v>
      </c>
      <c r="B45" s="35"/>
      <c r="C45" s="35"/>
      <c r="D45" s="4" t="str">
        <f>IF(MAX(K122:K133)=0,"Sin brechas relevantes",INDEX(J122:J133,MATCH(MAX(K122:K133),K122:K133,0)))</f>
        <v>Sin evaluar (núcleo, cuenta como 0) – Requisitos de seguridad clasificados</v>
      </c>
      <c r="E45" s="8">
        <f>Parametros!D8</f>
        <v>0.15</v>
      </c>
      <c r="F45" s="18">
        <f>IF(SUMIF($B$80:$B$240,"D4",$I$80:$I$240)=0,0,SUMIF($B$80:$B$240,"D4",$H$80:$H$240)/SUMIF($B$80:$B$240,"D4",$I$80:$I$240))</f>
        <v>0</v>
      </c>
      <c r="G45" s="9" t="str">
        <f>IF(J45="No","No evaluada",INDEX(Parametros!$B$30:$B$34,MATCH(F45,Parametros!$A$30:$A$34,1)))</f>
        <v>N1 - Incipiente</v>
      </c>
      <c r="H45" s="19" t="str">
        <f>Parametros!C8</f>
        <v>Núcleo</v>
      </c>
      <c r="I45" s="20">
        <f>IF(J45="No",0,E45*F45/SUMPRODUCT($E$42:$E$52*($J$42:$J$52="Sí")))</f>
        <v>0</v>
      </c>
      <c r="J45" s="9" t="str">
        <f>"Sí"</f>
        <v>Sí</v>
      </c>
    </row>
    <row r="46" spans="1:11" ht="42" customHeight="1">
      <c r="A46" s="35" t="s">
        <v>1256</v>
      </c>
      <c r="B46" s="35"/>
      <c r="C46" s="35"/>
      <c r="D46" s="4" t="str">
        <f>IF(MAX(K135:K147)=0,"Sin brechas relevantes",INDEX(J135:J147,MATCH(MAX(K135:K147),K135:K147,0)))</f>
        <v>Sin evaluar (núcleo, cuenta como 0) – Contratos de interfaz</v>
      </c>
      <c r="E46" s="8">
        <f>Parametros!D9</f>
        <v>0.14000000000000001</v>
      </c>
      <c r="F46" s="18">
        <f>IF(SUMIF($B$80:$B$240,"D5",$I$80:$I$240)=0,0,SUMIF($B$80:$B$240,"D5",$H$80:$H$240)/SUMIF($B$80:$B$240,"D5",$I$80:$I$240))</f>
        <v>0</v>
      </c>
      <c r="G46" s="9" t="str">
        <f>IF(J46="No","No evaluada",INDEX(Parametros!$B$30:$B$34,MATCH(F46,Parametros!$A$30:$A$34,1)))</f>
        <v>N1 - Incipiente</v>
      </c>
      <c r="H46" s="19" t="str">
        <f>Parametros!C9</f>
        <v>Núcleo</v>
      </c>
      <c r="I46" s="20">
        <f>IF(J46="No",0,E46*F46/SUMPRODUCT($E$42:$E$52*($J$42:$J$52="Sí")))</f>
        <v>0</v>
      </c>
      <c r="J46" s="9" t="str">
        <f>"Sí"</f>
        <v>Sí</v>
      </c>
    </row>
    <row r="47" spans="1:11" ht="42" customHeight="1">
      <c r="A47" s="33" t="s">
        <v>1257</v>
      </c>
      <c r="B47" s="33"/>
      <c r="C47" s="33"/>
      <c r="D47" s="4" t="str">
        <f>IF(MAX(K149:K155)=0,"Sin brechas relevantes",INDEX(J149:J155,MATCH(MAX(K149:K155),K149:K155,0)))</f>
        <v>Sin brechas relevantes</v>
      </c>
      <c r="E47" s="8">
        <f>Parametros!D10</f>
        <v>0.05</v>
      </c>
      <c r="F47" s="18">
        <f>IF(SUMIF($B$80:$B$240,"D6",$I$80:$I$240)=0,0,SUMIF($B$80:$B$240,"D6",$H$80:$H$240)/SUMIF($B$80:$B$240,"D6",$I$80:$I$240))</f>
        <v>0</v>
      </c>
      <c r="G47" s="9" t="str">
        <f>IF(J47="No","No evaluada",INDEX(Parametros!$B$30:$B$34,MATCH(F47,Parametros!$A$30:$A$34,1)))</f>
        <v>No evaluada</v>
      </c>
      <c r="H47" s="19" t="str">
        <f>Parametros!C10</f>
        <v>Complementaria</v>
      </c>
      <c r="I47" s="20">
        <f>IF(J47="No",0,E47*F47/SUMPRODUCT($E$42:$E$52*($J$42:$J$52="Sí")))</f>
        <v>0</v>
      </c>
      <c r="J47" s="9" t="str">
        <f>IF(SUMPRODUCT(($B$80:$B$240="D6")*ISNUMBER($F$80:$F$240))&gt;0,"Sí","No")</f>
        <v>No</v>
      </c>
    </row>
    <row r="48" spans="1:11" ht="42" customHeight="1">
      <c r="A48" s="33" t="s">
        <v>1239</v>
      </c>
      <c r="B48" s="33"/>
      <c r="C48" s="33"/>
      <c r="D48" s="4" t="str">
        <f>IF(MAX(K157:K163)=0,"Sin brechas relevantes",INDEX(J157:J163,MATCH(MAX(K157:K163),K157:K163,0)))</f>
        <v>Sin brechas relevantes</v>
      </c>
      <c r="E48" s="8">
        <f>Parametros!D11</f>
        <v>0.05</v>
      </c>
      <c r="F48" s="18">
        <f>IF(SUMIF($B$80:$B$240,"D7",$I$80:$I$240)=0,0,SUMIF($B$80:$B$240,"D7",$H$80:$H$240)/SUMIF($B$80:$B$240,"D7",$I$80:$I$240))</f>
        <v>0</v>
      </c>
      <c r="G48" s="9" t="str">
        <f>IF(J48="No","No evaluada",INDEX(Parametros!$B$30:$B$34,MATCH(F48,Parametros!$A$30:$A$34,1)))</f>
        <v>No evaluada</v>
      </c>
      <c r="H48" s="19" t="str">
        <f>Parametros!C11</f>
        <v>Complementaria</v>
      </c>
      <c r="I48" s="20">
        <f>IF(J48="No",0,E48*F48/SUMPRODUCT($E$42:$E$52*($J$42:$J$52="Sí")))</f>
        <v>0</v>
      </c>
      <c r="J48" s="9" t="str">
        <f>IF(SUMPRODUCT(($B$80:$B$240="D7")*ISNUMBER($F$80:$F$240))&gt;0,"Sí","No")</f>
        <v>No</v>
      </c>
    </row>
    <row r="49" spans="1:11" ht="42" customHeight="1">
      <c r="A49" s="33" t="s">
        <v>1242</v>
      </c>
      <c r="B49" s="33"/>
      <c r="C49" s="33"/>
      <c r="D49" s="4" t="str">
        <f>IF(MAX(K165:K175)=0,"Sin brechas relevantes",INDEX(J165:J175,MATCH(MAX(K165:K175),K165:K175,0)))</f>
        <v>Sin brechas relevantes</v>
      </c>
      <c r="E49" s="8">
        <f>Parametros!D12</f>
        <v>7.0000000000000007E-2</v>
      </c>
      <c r="F49" s="18">
        <f>IF(SUMIF($B$80:$B$240,"D8",$I$80:$I$240)=0,0,SUMIF($B$80:$B$240,"D8",$H$80:$H$240)/SUMIF($B$80:$B$240,"D8",$I$80:$I$240))</f>
        <v>0</v>
      </c>
      <c r="G49" s="9" t="str">
        <f>IF(J49="No","No evaluada",INDEX(Parametros!$B$30:$B$34,MATCH(F49,Parametros!$A$30:$A$34,1)))</f>
        <v>No evaluada</v>
      </c>
      <c r="H49" s="19" t="str">
        <f>Parametros!C12</f>
        <v>Complementaria</v>
      </c>
      <c r="I49" s="20">
        <f>IF(J49="No",0,E49*F49/SUMPRODUCT($E$42:$E$52*($J$42:$J$52="Sí")))</f>
        <v>0</v>
      </c>
      <c r="J49" s="9" t="str">
        <f>IF(SUMPRODUCT(($B$80:$B$240="D8")*ISNUMBER($F$80:$F$240))&gt;0,"Sí","No")</f>
        <v>No</v>
      </c>
    </row>
    <row r="50" spans="1:11" ht="42" customHeight="1">
      <c r="A50" s="33" t="s">
        <v>1245</v>
      </c>
      <c r="B50" s="33"/>
      <c r="C50" s="33"/>
      <c r="D50" s="4" t="str">
        <f>IF(MAX(K177:K184)=0,"Sin brechas relevantes",INDEX(J177:J184,MATCH(MAX(K177:K184),K177:K184,0)))</f>
        <v>Sin brechas relevantes</v>
      </c>
      <c r="E50" s="8">
        <f>Parametros!D13</f>
        <v>0.05</v>
      </c>
      <c r="F50" s="18">
        <f>IF(SUMIF($B$80:$B$240,"D9",$I$80:$I$240)=0,0,SUMIF($B$80:$B$240,"D9",$H$80:$H$240)/SUMIF($B$80:$B$240,"D9",$I$80:$I$240))</f>
        <v>0</v>
      </c>
      <c r="G50" s="9" t="str">
        <f>IF(J50="No","No evaluada",INDEX(Parametros!$B$30:$B$34,MATCH(F50,Parametros!$A$30:$A$34,1)))</f>
        <v>No evaluada</v>
      </c>
      <c r="H50" s="19" t="str">
        <f>Parametros!C13</f>
        <v>Complementaria</v>
      </c>
      <c r="I50" s="20">
        <f>IF(J50="No",0,E50*F50/SUMPRODUCT($E$42:$E$52*($J$42:$J$52="Sí")))</f>
        <v>0</v>
      </c>
      <c r="J50" s="9" t="str">
        <f>IF(SUMPRODUCT(($B$80:$B$240="D9")*ISNUMBER($F$80:$F$240))&gt;0,"Sí","No")</f>
        <v>No</v>
      </c>
    </row>
    <row r="51" spans="1:11" ht="42" customHeight="1">
      <c r="A51" s="33" t="s">
        <v>1258</v>
      </c>
      <c r="B51" s="33"/>
      <c r="C51" s="33"/>
      <c r="D51" s="4" t="str">
        <f>IF(MAX(K186:K191)=0,"Sin brechas relevantes",INDEX(J186:J191,MATCH(MAX(K186:K191),K186:K191,0)))</f>
        <v>Sin brechas relevantes</v>
      </c>
      <c r="E51" s="8">
        <f>Parametros!D14</f>
        <v>0.03</v>
      </c>
      <c r="F51" s="18">
        <f>IF(SUMIF($B$80:$B$240,"D10",$I$80:$I$240)=0,0,SUMIF($B$80:$B$240,"D10",$H$80:$H$240)/SUMIF($B$80:$B$240,"D10",$I$80:$I$240))</f>
        <v>0</v>
      </c>
      <c r="G51" s="9" t="str">
        <f>IF(J51="No","No evaluada",INDEX(Parametros!$B$30:$B$34,MATCH(F51,Parametros!$A$30:$A$34,1)))</f>
        <v>No evaluada</v>
      </c>
      <c r="H51" s="19" t="str">
        <f>Parametros!C14</f>
        <v>Complementaria</v>
      </c>
      <c r="I51" s="20">
        <f>IF(J51="No",0,E51*F51/SUMPRODUCT($E$42:$E$52*($J$42:$J$52="Sí")))</f>
        <v>0</v>
      </c>
      <c r="J51" s="9" t="str">
        <f>IF(SUMPRODUCT(($B$80:$B$240="D10")*ISNUMBER($F$80:$F$240))&gt;0,"Sí","No")</f>
        <v>No</v>
      </c>
    </row>
    <row r="52" spans="1:11" ht="42" customHeight="1">
      <c r="A52" s="33" t="s">
        <v>1259</v>
      </c>
      <c r="B52" s="33"/>
      <c r="C52" s="33"/>
      <c r="D52" s="4" t="str">
        <f>IF(MAX(K193:K199)=0,"Sin brechas relevantes",INDEX(J193:J199,MATCH(MAX(K193:K199),K193:K199,0)))</f>
        <v>Sin brechas relevantes</v>
      </c>
      <c r="E52" s="8">
        <f>Parametros!D15</f>
        <v>0.05</v>
      </c>
      <c r="F52" s="18">
        <f>IF(SUMIF($B$80:$B$240,"D11",$I$80:$I$240)=0,0,SUMIF($B$80:$B$240,"D11",$H$80:$H$240)/SUMIF($B$80:$B$240,"D11",$I$80:$I$240))</f>
        <v>0</v>
      </c>
      <c r="G52" s="9" t="str">
        <f>IF(J52="No","No evaluada",INDEX(Parametros!$B$30:$B$34,MATCH(F52,Parametros!$A$30:$A$34,1)))</f>
        <v>No evaluada</v>
      </c>
      <c r="H52" s="19" t="str">
        <f>Parametros!C15</f>
        <v>Complementaria</v>
      </c>
      <c r="I52" s="20">
        <f>IF(J52="No",0,E52*F52/SUMPRODUCT($E$42:$E$52*($J$42:$J$52="Sí")))</f>
        <v>0</v>
      </c>
      <c r="J52" s="9" t="str">
        <f>IF(SUMPRODUCT(($B$80:$B$240="D11")*ISNUMBER($F$80:$F$240))&gt;0,"Sí","No")</f>
        <v>No</v>
      </c>
    </row>
    <row r="53" spans="1:11" ht="15" customHeight="1">
      <c r="A53" s="35" t="s">
        <v>1260</v>
      </c>
      <c r="B53" s="35"/>
      <c r="C53" s="35"/>
      <c r="D53" s="35"/>
      <c r="E53" s="35"/>
      <c r="F53" s="18">
        <f>SUM(I42:I52)</f>
        <v>0</v>
      </c>
      <c r="G53" s="9" t="str">
        <f>INDEX(Parametros!$B$30:$B$34,MATCH(F53,Parametros!$A$30:$A$34,1))</f>
        <v>N1 - Incipiente</v>
      </c>
      <c r="H53" s="36" t="s">
        <v>1261</v>
      </c>
      <c r="I53" s="36"/>
      <c r="J53" s="36"/>
    </row>
    <row r="54" spans="1:11" ht="15" customHeight="1">
      <c r="A54" s="35" t="s">
        <v>1262</v>
      </c>
      <c r="B54" s="35"/>
      <c r="C54" s="35"/>
      <c r="D54" s="35"/>
      <c r="E54" s="35"/>
      <c r="F54" s="20">
        <f>MIN(F42:F46)</f>
        <v>0</v>
      </c>
      <c r="G54" s="30" t="str">
        <f>IF(F54&lt;Parametros!$B$37,"Aplica tope: nivel máximo "&amp;INDEX(Parametros!$B$30:$B$34,Parametros!$B$38),"No aplica tope")</f>
        <v>Aplica tope: nivel máximo N3 - Intermedio</v>
      </c>
      <c r="H54" s="30"/>
      <c r="I54" s="30"/>
      <c r="J54" s="30"/>
    </row>
    <row r="55" spans="1:11" ht="15" customHeight="1">
      <c r="A55" s="37" t="s">
        <v>1263</v>
      </c>
      <c r="B55" s="37"/>
      <c r="C55" s="37"/>
      <c r="D55" s="37"/>
      <c r="E55" s="37"/>
      <c r="F55" s="21">
        <f>MIN(MATCH(F53,Parametros!$A$30:$A$34,1),IF(F54&lt;Parametros!$B$37,Parametros!$B$38,5))</f>
        <v>1</v>
      </c>
      <c r="G55" s="38" t="str">
        <f>IF(COUNT($F$80:$F$240)=0,"Sin evaluar",INDEX(Parametros!$B$30:$B$34,F55))</f>
        <v>Sin evaluar</v>
      </c>
      <c r="H55" s="38"/>
      <c r="I55" s="38"/>
      <c r="J55" s="38"/>
    </row>
    <row r="56" spans="1:11" ht="15" customHeight="1">
      <c r="A56" s="33" t="s">
        <v>1149</v>
      </c>
      <c r="B56" s="33"/>
      <c r="C56" s="33"/>
      <c r="D56" s="30" t="str">
        <f>IF(COUNT($F$80:$F$240)=0,"",INDEX(Parametros!$D$30:$D$34,F55))</f>
        <v/>
      </c>
      <c r="E56" s="30"/>
      <c r="F56" s="30"/>
      <c r="G56" s="30"/>
      <c r="H56" s="30"/>
      <c r="I56" s="30"/>
      <c r="J56" s="30"/>
    </row>
    <row r="57" spans="1:11" ht="30" customHeight="1">
      <c r="A57" s="33" t="s">
        <v>1150</v>
      </c>
      <c r="B57" s="33"/>
      <c r="C57" s="33"/>
      <c r="D57" s="30" t="str">
        <f>IF(COUNT($F$80:$F$240)=0,"",INDEX(Parametros!$E$30:$E$34,F55))</f>
        <v/>
      </c>
      <c r="E57" s="30"/>
      <c r="F57" s="30"/>
      <c r="G57" s="30"/>
      <c r="H57" s="30"/>
      <c r="I57" s="30"/>
      <c r="J57" s="30"/>
    </row>
    <row r="59" spans="1:11">
      <c r="A59" s="32" t="s">
        <v>1264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spans="1:11" ht="15" customHeight="1">
      <c r="A60" s="5" t="s">
        <v>129</v>
      </c>
      <c r="B60" s="34" t="s">
        <v>1265</v>
      </c>
      <c r="C60" s="34"/>
      <c r="D60" s="34"/>
      <c r="E60" s="34" t="s">
        <v>1266</v>
      </c>
      <c r="F60" s="34"/>
      <c r="G60" s="34" t="s">
        <v>1267</v>
      </c>
      <c r="H60" s="34"/>
      <c r="I60" s="34"/>
      <c r="J60" s="34"/>
      <c r="K60" s="34"/>
    </row>
    <row r="61" spans="1:11" ht="30" customHeight="1">
      <c r="A61" s="12" t="s">
        <v>1268</v>
      </c>
      <c r="B61" s="30" t="s">
        <v>1269</v>
      </c>
      <c r="C61" s="30"/>
      <c r="D61" s="30"/>
      <c r="E61" s="31" t="str">
        <f>IF(COUNT($F$80:$F$240)+COUNT(E14:E37)-COUNT(E34)=0,"Sin datos",IF(AND(COUNT(E14:E17)&gt;0,ABS(SUM(E14:E17)-1)&gt;0.001),"⚠ Revisar","OK"))</f>
        <v>Sin datos</v>
      </c>
      <c r="F61" s="31"/>
      <c r="G61" s="30" t="str">
        <f>IF(E61="⚠ Revisar","Ajustar los porcentajes de nuevo / evolutivo / modernización / mantenimiento para que sumen 100%.","")</f>
        <v/>
      </c>
      <c r="H61" s="30"/>
      <c r="I61" s="30"/>
      <c r="J61" s="30"/>
      <c r="K61" s="30"/>
    </row>
    <row r="62" spans="1:11" ht="30" customHeight="1">
      <c r="A62" s="12" t="s">
        <v>1270</v>
      </c>
      <c r="B62" s="30" t="s">
        <v>1271</v>
      </c>
      <c r="C62" s="30"/>
      <c r="D62" s="30"/>
      <c r="E62" s="31" t="str">
        <f>IF(COUNT($F$80:$F$240)+COUNT(E14:E37)-COUNT(E34)=0,"Sin datos",IF(AND(SUM(E15:E17)&gt;0,OR(F83="N/A",AND(ISNUMBER(F83),F83&lt;=1))),"⚠ Revisar","OK"))</f>
        <v>Sin datos</v>
      </c>
      <c r="F62" s="31"/>
      <c r="G62" s="30" t="str">
        <f>IF(E62="⚠ Revisar","Se modifica un activo existente sin línea base funcional: D1.03 no debería ser N/A ni ≤ 1.","")</f>
        <v/>
      </c>
      <c r="H62" s="30"/>
      <c r="I62" s="30"/>
      <c r="J62" s="30"/>
      <c r="K62" s="30"/>
    </row>
    <row r="63" spans="1:11" ht="30" customHeight="1">
      <c r="A63" s="12" t="s">
        <v>1272</v>
      </c>
      <c r="B63" s="30" t="s">
        <v>1273</v>
      </c>
      <c r="C63" s="30"/>
      <c r="D63" s="30"/>
      <c r="E63" s="31" t="str">
        <f>IF(COUNT($F$80:$F$240)+COUNT(E14:E37)-COUNT(E34)=0,"Sin datos",IF(AND(E18="Modernización y migración",G14="Nuevo desarrollo"),"⚠ Revisar","OK"))</f>
        <v>Sin datos</v>
      </c>
      <c r="F63" s="31"/>
      <c r="G63" s="30" t="str">
        <f>IF(E63="⚠ Revisar","Revisar el arquetipo o la composición del tipo de desarrollo.","")</f>
        <v/>
      </c>
      <c r="H63" s="30"/>
      <c r="I63" s="30"/>
      <c r="J63" s="30"/>
      <c r="K63" s="30"/>
    </row>
    <row r="64" spans="1:11" ht="30" customHeight="1">
      <c r="A64" s="12" t="s">
        <v>1274</v>
      </c>
      <c r="B64" s="30" t="s">
        <v>1275</v>
      </c>
      <c r="C64" s="30"/>
      <c r="D64" s="30"/>
      <c r="E64" s="31" t="str">
        <f>IF(COUNT($F$80:$F$240)+COUNT(E14:E37)-COUNT(E34)=0,"Sin datos",IF(AND(E18="Integración e interoperabilidad",N(E29)&lt;3),"⚠ Revisar","OK"))</f>
        <v>Sin datos</v>
      </c>
      <c r="F64" s="31"/>
      <c r="G64" s="30" t="str">
        <f>IF(E64="⚠ Revisar","Con pocas interfaces el esfuerzo difícilmente se concentra en integración; revisar la clasificación.","")</f>
        <v/>
      </c>
      <c r="H64" s="30"/>
      <c r="I64" s="30"/>
      <c r="J64" s="30"/>
      <c r="K64" s="30"/>
    </row>
    <row r="65" spans="1:11" ht="30" customHeight="1">
      <c r="A65" s="12" t="s">
        <v>1276</v>
      </c>
      <c r="B65" s="30" t="s">
        <v>1277</v>
      </c>
      <c r="C65" s="30"/>
      <c r="D65" s="30"/>
      <c r="E65" s="31" t="str">
        <f>IF(COUNT($F$80:$F$240)+COUNT(E14:E37)-COUNT(E34)=0,"Sin datos",IF(AND(OR(E18="Integración e interoperabilidad",ISNUMBER(SEARCH("Integración",E19))),E29=""),"⚠ Revisar","OK"))</f>
        <v>Sin datos</v>
      </c>
      <c r="F65" s="31"/>
      <c r="G65" s="30" t="str">
        <f>IF(E65="⚠ Revisar","Registrar el número de interfaces en la Parte A.","")</f>
        <v/>
      </c>
      <c r="H65" s="30"/>
      <c r="I65" s="30"/>
      <c r="J65" s="30"/>
      <c r="K65" s="30"/>
    </row>
    <row r="66" spans="1:11" ht="30" customHeight="1">
      <c r="A66" s="12" t="s">
        <v>1278</v>
      </c>
      <c r="B66" s="30" t="s">
        <v>1279</v>
      </c>
      <c r="C66" s="30"/>
      <c r="D66" s="30"/>
      <c r="E66" s="31" t="str">
        <f>IF(COUNT($F$80:$F$240)+COUNT(E14:E37)-COUNT(E34)=0,"Sin datos",IF(AND(N(E29)&gt;0,AND(ISNUMBER(F135),F135&lt;=1)),"⚠ Revisar","OK"))</f>
        <v>Sin datos</v>
      </c>
      <c r="F66" s="31"/>
      <c r="G66" s="30" t="str">
        <f>IF(E66="⚠ Revisar","Se declara un número de interfaces que no está respaldado por un inventario.","")</f>
        <v/>
      </c>
      <c r="H66" s="30"/>
      <c r="I66" s="30"/>
      <c r="J66" s="30"/>
      <c r="K66" s="30"/>
    </row>
    <row r="67" spans="1:11" ht="30" customHeight="1">
      <c r="A67" s="12" t="s">
        <v>1280</v>
      </c>
      <c r="B67" s="30" t="s">
        <v>1281</v>
      </c>
      <c r="C67" s="30"/>
      <c r="D67" s="30"/>
      <c r="E67" s="31" t="str">
        <f>IF(COUNT($F$80:$F$240)+COUNT(E14:E37)-COUNT(E34)=0,"Sin datos",IF(AND(N(E21)&gt;0,AND(ISNUMBER(F111),F111&lt;=1)),"⚠ Revisar","OK"))</f>
        <v>Sin datos</v>
      </c>
      <c r="F67" s="31"/>
      <c r="G67" s="30" t="str">
        <f>IF(E67="⚠ Revisar","El número de procesos registrado no tiene inventario que lo respalde; el tamaño es una suposición.","")</f>
        <v/>
      </c>
      <c r="H67" s="30"/>
      <c r="I67" s="30"/>
      <c r="J67" s="30"/>
      <c r="K67" s="30"/>
    </row>
    <row r="68" spans="1:11" ht="30" customHeight="1">
      <c r="A68" s="12" t="s">
        <v>1282</v>
      </c>
      <c r="B68" s="30" t="s">
        <v>1283</v>
      </c>
      <c r="C68" s="30"/>
      <c r="D68" s="30"/>
      <c r="E68" s="31" t="str">
        <f>IF(COUNT($F$80:$F$240)+COUNT(E14:E37)-COUNT(E34)=0,"Sin datos",IF(AND(ISNUMBER(F111),F111&gt;=2,N(E21)=0),"⚠ Revisar","OK"))</f>
        <v>Sin datos</v>
      </c>
      <c r="F68" s="31"/>
      <c r="G68" s="30" t="str">
        <f>IF(E68="⚠ Revisar","Registrar el N° de procesos funcionales en la Parte A para obtener la clase de tamaño.","")</f>
        <v/>
      </c>
      <c r="H68" s="30"/>
      <c r="I68" s="30"/>
      <c r="J68" s="30"/>
      <c r="K68" s="30"/>
    </row>
    <row r="69" spans="1:11" ht="30" customHeight="1">
      <c r="A69" s="12" t="s">
        <v>1284</v>
      </c>
      <c r="B69" s="30" t="s">
        <v>1285</v>
      </c>
      <c r="C69" s="30"/>
      <c r="D69" s="30"/>
      <c r="E69" s="31" t="str">
        <f>IF(COUNT($F$80:$F$240)+COUNT(E14:E37)-COUNT(E34)=0,"Sin datos",IF(AND(E26=2,AND(ISNUMBER(F127),F127&lt;=1)),"⚠ Revisar","OK"))</f>
        <v>Sin datos</v>
      </c>
      <c r="F69" s="31"/>
      <c r="G69" s="30" t="str">
        <f>IF(E69="⚠ Revisar","Se califica la seguridad como crítica sin requisitos especificados; la complejidad no está sustentada.","")</f>
        <v/>
      </c>
      <c r="H69" s="30"/>
      <c r="I69" s="30"/>
      <c r="J69" s="30"/>
      <c r="K69" s="30"/>
    </row>
    <row r="70" spans="1:11" ht="30" customHeight="1">
      <c r="A70" s="12" t="s">
        <v>1286</v>
      </c>
      <c r="B70" s="30" t="s">
        <v>1287</v>
      </c>
      <c r="C70" s="30"/>
      <c r="D70" s="30"/>
      <c r="E70" s="31" t="str">
        <f>IF(COUNT($F$80:$F$240)+COUNT(E14:E37)-COUNT(E34)=0,"Sin datos",IF(AND(E24=2,AND(ISNUMBER(F123),F123&lt;=1)),"⚠ Revisar","OK"))</f>
        <v>Sin datos</v>
      </c>
      <c r="F70" s="31"/>
      <c r="G70" s="30" t="str">
        <f>IF(E70="⚠ Revisar","Se califican reglas complejas sin caracterizarlas; documentar condiciones y excepciones.","")</f>
        <v/>
      </c>
      <c r="H70" s="30"/>
      <c r="I70" s="30"/>
      <c r="J70" s="30"/>
      <c r="K70" s="30"/>
    </row>
    <row r="71" spans="1:11" ht="30" customHeight="1">
      <c r="A71" s="12" t="s">
        <v>1288</v>
      </c>
      <c r="B71" s="30" t="s">
        <v>1289</v>
      </c>
      <c r="C71" s="30"/>
      <c r="D71" s="30"/>
      <c r="E71" s="31" t="str">
        <f>IF(COUNT($F$80:$F$240)+COUNT(E14:E37)-COUNT(E34)=0,"Sin datos",IF(AND(N(E32)&gt;0.7,OR(F151="N/A",AND(ISNUMBER(F151),F151&lt;=1))),"⚠ Revisar","OK"))</f>
        <v>Sin datos</v>
      </c>
      <c r="F71" s="31"/>
      <c r="G71" s="30" t="str">
        <f>IF(E71="⚠ Revisar","El porcentaje de reuso no está respaldado por una evaluación de los activos.","")</f>
        <v/>
      </c>
      <c r="H71" s="30"/>
      <c r="I71" s="30"/>
      <c r="J71" s="30"/>
      <c r="K71" s="30"/>
    </row>
    <row r="72" spans="1:11" ht="30" customHeight="1">
      <c r="A72" s="12" t="s">
        <v>1290</v>
      </c>
      <c r="B72" s="30" t="s">
        <v>1291</v>
      </c>
      <c r="C72" s="30"/>
      <c r="D72" s="30"/>
      <c r="E72" s="31" t="str">
        <f>IF(COUNT($F$80:$F$240)+COUNT(E14:E37)-COUNT(E34)=0,"Sin datos",IF(AND(LEFT(E33,2)="T1",AND(ISNUMBER(F160),F160&lt;=1)),"⚠ Revisar","OK"))</f>
        <v>Sin datos</v>
      </c>
      <c r="F72" s="31"/>
      <c r="G72" s="30" t="str">
        <f>IF(E72="⚠ Revisar","Se declara tecnología conocida sin evaluar la experiencia del equipo por tecnología.","")</f>
        <v/>
      </c>
      <c r="H72" s="30"/>
      <c r="I72" s="30"/>
      <c r="J72" s="30"/>
      <c r="K72" s="30"/>
    </row>
    <row r="73" spans="1:11" ht="30" customHeight="1">
      <c r="A73" s="12" t="s">
        <v>1292</v>
      </c>
      <c r="B73" s="30" t="s">
        <v>1293</v>
      </c>
      <c r="C73" s="30"/>
      <c r="D73" s="30"/>
      <c r="E73" s="31" t="str">
        <f>IF(COUNT($F$80:$F$240)+COUNT(E14:E37)-COUNT(E34)=0,"Sin datos",IF(AND(N(E37)&gt;=4,AND(ISNUMBER(F195),F195&lt;=1)),"⚠ Revisar","OK"))</f>
        <v>Sin datos</v>
      </c>
      <c r="F73" s="31"/>
      <c r="G73" s="30" t="str">
        <f>IF(E73="⚠ Revisar","Los comparables existen pero sus datos son incompletos; la evidencia real es menor.","")</f>
        <v/>
      </c>
      <c r="H73" s="30"/>
      <c r="I73" s="30"/>
      <c r="J73" s="30"/>
      <c r="K73" s="30"/>
    </row>
    <row r="74" spans="1:11" ht="30" customHeight="1">
      <c r="A74" s="12" t="s">
        <v>1294</v>
      </c>
      <c r="B74" s="30" t="s">
        <v>1295</v>
      </c>
      <c r="C74" s="30"/>
      <c r="D74" s="30"/>
      <c r="E74" s="31" t="str">
        <f>IF(COUNT($F$80:$F$240)+COUNT(E14:E37)-COUNT(E34)=0,"Sin datos",IF(AND(E34&gt;=5,F44&lt;Parametros!$B$37),"⚠ Revisar","OK"))</f>
        <v>Sin datos</v>
      </c>
      <c r="F74" s="31"/>
      <c r="G74" s="30" t="str">
        <f>IF(E74="⚠ Revisar","El alcance se declara definido pero el tamaño no es medible; revisar D3 y D8.","")</f>
        <v/>
      </c>
      <c r="H74" s="30"/>
      <c r="I74" s="30"/>
      <c r="J74" s="30"/>
      <c r="K74" s="30"/>
    </row>
    <row r="75" spans="1:11" ht="30" customHeight="1">
      <c r="A75" s="12" t="s">
        <v>1296</v>
      </c>
      <c r="B75" s="30" t="s">
        <v>1297</v>
      </c>
      <c r="C75" s="30"/>
      <c r="D75" s="30"/>
      <c r="E75" s="31" t="str">
        <f>IF(COUNT($F$80:$F$240)+COUNT(E14:E37)-COUNT(E34)=0,"Sin datos",IF(AND(LEFT(G29,2)="I3",AND(ISNUMBER(F143),F143&lt;=1)),"⚠ Revisar","OK"))</f>
        <v>Sin datos</v>
      </c>
      <c r="F75" s="31"/>
      <c r="G75" s="30" t="str">
        <f>IF(E75="⚠ Revisar","Integración de alta dificultad sin ambientes de prueba confirmados: alerta crítica para la planificación.","")</f>
        <v/>
      </c>
      <c r="H75" s="30"/>
      <c r="I75" s="30"/>
      <c r="J75" s="30"/>
      <c r="K75" s="30"/>
    </row>
    <row r="78" spans="1:11">
      <c r="A78" s="32" t="s">
        <v>1298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</row>
    <row r="79" spans="1:11" ht="23.85">
      <c r="A79" s="5" t="s">
        <v>129</v>
      </c>
      <c r="B79" s="5" t="s">
        <v>1299</v>
      </c>
      <c r="C79" s="5" t="s">
        <v>130</v>
      </c>
      <c r="D79" s="5" t="s">
        <v>1300</v>
      </c>
      <c r="E79" s="5" t="s">
        <v>40</v>
      </c>
      <c r="F79" s="5" t="s">
        <v>1301</v>
      </c>
      <c r="G79" s="5" t="s">
        <v>1302</v>
      </c>
      <c r="H79" s="5" t="s">
        <v>1303</v>
      </c>
      <c r="I79" s="5" t="s">
        <v>1304</v>
      </c>
      <c r="J79" s="5" t="s">
        <v>1305</v>
      </c>
      <c r="K79" s="5" t="s">
        <v>1306</v>
      </c>
    </row>
    <row r="80" spans="1:11">
      <c r="A80" s="28" t="str">
        <f>"D1 · Tipo de desarrollo — Núcleo · peso "&amp;TEXT(Parametros!$D$5,"0%")&amp;" · 12 criterios"</f>
        <v>D1 · Tipo de desarrollo — Núcleo · peso 12% · 12 criterios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1:11" ht="54" customHeight="1">
      <c r="A81" s="9" t="s">
        <v>142</v>
      </c>
      <c r="B81" s="9" t="s">
        <v>48</v>
      </c>
      <c r="C81" s="4" t="s">
        <v>143</v>
      </c>
      <c r="D81" s="4" t="s">
        <v>1307</v>
      </c>
      <c r="E81" s="19">
        <f>INDEX(Rubricas!$M$4:$M$112,MATCH(A81,Rubricas!$A$4:$A$112,0))</f>
        <v>3</v>
      </c>
      <c r="F81" s="22"/>
      <c r="G81" s="17"/>
      <c r="H81" s="9">
        <f>IF(ISNUMBER(F81),F81*E81,0)</f>
        <v>0</v>
      </c>
      <c r="I81" s="9">
        <f>IF(F81="N/A",0,3*E81)</f>
        <v>9</v>
      </c>
      <c r="J81" s="4" t="str">
        <f>IF(F81="","Sin evaluar (núcleo, cuenta como 0) – "&amp;INDEX(Rubricas!$F$4:$F$112,MATCH(A81,Rubricas!$A$4:$A$112,0)),IF(F81="N/A","⚠ Este criterio no admite N/A: calificar de 0 a 3.",IF(F81&lt;=1,INDEX(Rubricas!$O$4:$O$112,MATCH(A81,Rubricas!$A$4:$A$112,0)),IF(F81=2,"Por completar o validar – "&amp;INDEX(Rubricas!$F$4:$F$112,MATCH(A81,Rubricas!$A$4:$A$112,0)),""))))</f>
        <v>Sin evaluar (núcleo, cuenta como 0) – Composición del alcance cuantificada</v>
      </c>
      <c r="K81" s="23">
        <f>IF(ISNUMBER(F81),IF(F81&lt;3,(3-F81)*E81*VLOOKUP(B81,Parametros!$A$5:$D$15,4,0)*100+ROW()/100000,0),IF(F81="",3*E81*VLOOKUP(B81,Parametros!$A$5:$D$15,4,0)*100+ROW()/100000,0))</f>
        <v>108.00081</v>
      </c>
    </row>
    <row r="82" spans="1:11" ht="54" customHeight="1">
      <c r="A82" s="9" t="s">
        <v>154</v>
      </c>
      <c r="B82" s="9" t="s">
        <v>48</v>
      </c>
      <c r="C82" s="4" t="s">
        <v>143</v>
      </c>
      <c r="D82" s="4" t="s">
        <v>1308</v>
      </c>
      <c r="E82" s="19">
        <f>INDEX(Rubricas!$M$4:$M$112,MATCH(A82,Rubricas!$A$4:$A$112,0))</f>
        <v>3</v>
      </c>
      <c r="F82" s="22"/>
      <c r="G82" s="17"/>
      <c r="H82" s="9">
        <f>IF(ISNUMBER(F82),F82*E82,0)</f>
        <v>0</v>
      </c>
      <c r="I82" s="9">
        <f>IF(F82="N/A",0,3*E82)</f>
        <v>9</v>
      </c>
      <c r="J82" s="4" t="str">
        <f>IF(F82="","Sin evaluar (núcleo, cuenta como 0) – "&amp;INDEX(Rubricas!$F$4:$F$112,MATCH(A82,Rubricas!$A$4:$A$112,0)),IF(F82="N/A","⚠ Este criterio no admite N/A: calificar de 0 a 3.",IF(F82&lt;=1,INDEX(Rubricas!$O$4:$O$112,MATCH(A82,Rubricas!$A$4:$A$112,0)),IF(F82=2,"Por completar o validar – "&amp;INDEX(Rubricas!$F$4:$F$112,MATCH(A82,Rubricas!$A$4:$A$112,0)),""))))</f>
        <v>Sin evaluar (núcleo, cuenta como 0) – Tipo de desarrollo asignado y justificado</v>
      </c>
      <c r="K82" s="23">
        <f>IF(ISNUMBER(F82),IF(F82&lt;3,(3-F82)*E82*VLOOKUP(B82,Parametros!$A$5:$D$15,4,0)*100+ROW()/100000,0),IF(F82="",3*E82*VLOOKUP(B82,Parametros!$A$5:$D$15,4,0)*100+ROW()/100000,0))</f>
        <v>108.00082</v>
      </c>
    </row>
    <row r="83" spans="1:11" ht="54" customHeight="1">
      <c r="A83" s="9" t="s">
        <v>163</v>
      </c>
      <c r="B83" s="9" t="s">
        <v>48</v>
      </c>
      <c r="C83" s="4" t="s">
        <v>164</v>
      </c>
      <c r="D83" s="4" t="s">
        <v>1309</v>
      </c>
      <c r="E83" s="19">
        <f>INDEX(Rubricas!$M$4:$M$112,MATCH(A83,Rubricas!$A$4:$A$112,0))</f>
        <v>2</v>
      </c>
      <c r="F83" s="22"/>
      <c r="G83" s="17"/>
      <c r="H83" s="9">
        <f>IF(ISNUMBER(F83),F83*E83,0)</f>
        <v>0</v>
      </c>
      <c r="I83" s="9">
        <f>IF(F83="N/A",0,3*E83)</f>
        <v>6</v>
      </c>
      <c r="J83" s="4" t="str">
        <f>IF(F83="","Sin evaluar (núcleo, cuenta como 0) – "&amp;INDEX(Rubricas!$F$4:$F$112,MATCH(A83,Rubricas!$A$4:$A$112,0)),IF(F83="N/A","",IF(F83&lt;=1,INDEX(Rubricas!$O$4:$O$112,MATCH(A83,Rubricas!$A$4:$A$112,0)),IF(F83=2,"Por completar o validar – "&amp;INDEX(Rubricas!$F$4:$F$112,MATCH(A83,Rubricas!$A$4:$A$112,0)),""))))</f>
        <v>Sin evaluar (núcleo, cuenta como 0) – Línea base funcional del sistema existente</v>
      </c>
      <c r="K83" s="23">
        <f>IF(ISNUMBER(F83),IF(F83&lt;3,(3-F83)*E83*VLOOKUP(B83,Parametros!$A$5:$D$15,4,0)*100+ROW()/100000,0),IF(F83="",3*E83*VLOOKUP(B83,Parametros!$A$5:$D$15,4,0)*100+ROW()/100000,0))</f>
        <v>72.000829999999993</v>
      </c>
    </row>
    <row r="84" spans="1:11" ht="54" customHeight="1">
      <c r="A84" s="9" t="s">
        <v>175</v>
      </c>
      <c r="B84" s="9" t="s">
        <v>48</v>
      </c>
      <c r="C84" s="4" t="s">
        <v>143</v>
      </c>
      <c r="D84" s="4" t="s">
        <v>1310</v>
      </c>
      <c r="E84" s="19">
        <f>INDEX(Rubricas!$M$4:$M$112,MATCH(A84,Rubricas!$A$4:$A$112,0))</f>
        <v>3</v>
      </c>
      <c r="F84" s="22"/>
      <c r="G84" s="17"/>
      <c r="H84" s="9">
        <f>IF(ISNUMBER(F84),F84*E84,0)</f>
        <v>0</v>
      </c>
      <c r="I84" s="9">
        <f>IF(F84="N/A",0,3*E84)</f>
        <v>9</v>
      </c>
      <c r="J84" s="4" t="str">
        <f>IF(F84="","Sin evaluar (núcleo, cuenta como 0) – "&amp;INDEX(Rubricas!$F$4:$F$112,MATCH(A84,Rubricas!$A$4:$A$112,0)),IF(F84="N/A","",IF(F84&lt;=1,INDEX(Rubricas!$O$4:$O$112,MATCH(A84,Rubricas!$A$4:$A$112,0)),IF(F84=2,"Por completar o validar – "&amp;INDEX(Rubricas!$F$4:$F$112,MATCH(A84,Rubricas!$A$4:$A$112,0)),""))))</f>
        <v>Sin evaluar (núcleo, cuenta como 0) – Funcionalidades nuevas identificadas</v>
      </c>
      <c r="K84" s="23">
        <f>IF(ISNUMBER(F84),IF(F84&lt;3,(3-F84)*E84*VLOOKUP(B84,Parametros!$A$5:$D$15,4,0)*100+ROW()/100000,0),IF(F84="",3*E84*VLOOKUP(B84,Parametros!$A$5:$D$15,4,0)*100+ROW()/100000,0))</f>
        <v>108.00084</v>
      </c>
    </row>
    <row r="85" spans="1:11" ht="54" customHeight="1">
      <c r="A85" s="9" t="s">
        <v>184</v>
      </c>
      <c r="B85" s="9" t="s">
        <v>48</v>
      </c>
      <c r="C85" s="4" t="s">
        <v>143</v>
      </c>
      <c r="D85" s="4" t="s">
        <v>1311</v>
      </c>
      <c r="E85" s="19">
        <f>INDEX(Rubricas!$M$4:$M$112,MATCH(A85,Rubricas!$A$4:$A$112,0))</f>
        <v>3</v>
      </c>
      <c r="F85" s="22"/>
      <c r="G85" s="17"/>
      <c r="H85" s="9">
        <f>IF(ISNUMBER(F85),F85*E85,0)</f>
        <v>0</v>
      </c>
      <c r="I85" s="9">
        <f>IF(F85="N/A",0,3*E85)</f>
        <v>9</v>
      </c>
      <c r="J85" s="4" t="str">
        <f>IF(F85="","Sin evaluar (núcleo, cuenta como 0) – "&amp;INDEX(Rubricas!$F$4:$F$112,MATCH(A85,Rubricas!$A$4:$A$112,0)),IF(F85="N/A","",IF(F85&lt;=1,INDEX(Rubricas!$O$4:$O$112,MATCH(A85,Rubricas!$A$4:$A$112,0)),IF(F85=2,"Por completar o validar – "&amp;INDEX(Rubricas!$F$4:$F$112,MATCH(A85,Rubricas!$A$4:$A$112,0)),""))))</f>
        <v>Sin evaluar (núcleo, cuenta como 0) – Funcionalidades modificadas y naturaleza del cambio</v>
      </c>
      <c r="K85" s="23">
        <f>IF(ISNUMBER(F85),IF(F85&lt;3,(3-F85)*E85*VLOOKUP(B85,Parametros!$A$5:$D$15,4,0)*100+ROW()/100000,0),IF(F85="",3*E85*VLOOKUP(B85,Parametros!$A$5:$D$15,4,0)*100+ROW()/100000,0))</f>
        <v>108.00085</v>
      </c>
    </row>
    <row r="86" spans="1:11" ht="54" customHeight="1">
      <c r="A86" s="9" t="s">
        <v>193</v>
      </c>
      <c r="B86" s="9" t="s">
        <v>48</v>
      </c>
      <c r="C86" s="4" t="s">
        <v>143</v>
      </c>
      <c r="D86" s="4" t="s">
        <v>1312</v>
      </c>
      <c r="E86" s="19">
        <f>INDEX(Rubricas!$M$4:$M$112,MATCH(A86,Rubricas!$A$4:$A$112,0))</f>
        <v>1</v>
      </c>
      <c r="F86" s="22"/>
      <c r="G86" s="17"/>
      <c r="H86" s="9">
        <f>IF(ISNUMBER(F86),F86*E86,0)</f>
        <v>0</v>
      </c>
      <c r="I86" s="9">
        <f>IF(F86="N/A",0,3*E86)</f>
        <v>3</v>
      </c>
      <c r="J86" s="4" t="str">
        <f>IF(F86="","Sin evaluar (núcleo, cuenta como 0) – "&amp;INDEX(Rubricas!$F$4:$F$112,MATCH(A86,Rubricas!$A$4:$A$112,0)),IF(F86="N/A","",IF(F86&lt;=1,INDEX(Rubricas!$O$4:$O$112,MATCH(A86,Rubricas!$A$4:$A$112,0)),IF(F86=2,"Por completar o validar – "&amp;INDEX(Rubricas!$F$4:$F$112,MATCH(A86,Rubricas!$A$4:$A$112,0)),""))))</f>
        <v>Sin evaluar (núcleo, cuenta como 0) – Funcionalidades retiradas</v>
      </c>
      <c r="K86" s="23">
        <f>IF(ISNUMBER(F86),IF(F86&lt;3,(3-F86)*E86*VLOOKUP(B86,Parametros!$A$5:$D$15,4,0)*100+ROW()/100000,0),IF(F86="",3*E86*VLOOKUP(B86,Parametros!$A$5:$D$15,4,0)*100+ROW()/100000,0))</f>
        <v>36.000860000000003</v>
      </c>
    </row>
    <row r="87" spans="1:11" ht="54" customHeight="1">
      <c r="A87" s="9" t="s">
        <v>202</v>
      </c>
      <c r="B87" s="9" t="s">
        <v>48</v>
      </c>
      <c r="C87" s="4" t="s">
        <v>203</v>
      </c>
      <c r="D87" s="4" t="s">
        <v>1313</v>
      </c>
      <c r="E87" s="19">
        <f>INDEX(Rubricas!$M$4:$M$112,MATCH(A87,Rubricas!$A$4:$A$112,0))</f>
        <v>3</v>
      </c>
      <c r="F87" s="22"/>
      <c r="G87" s="17"/>
      <c r="H87" s="9">
        <f>IF(ISNUMBER(F87),F87*E87,0)</f>
        <v>0</v>
      </c>
      <c r="I87" s="9">
        <f>IF(F87="N/A",0,3*E87)</f>
        <v>9</v>
      </c>
      <c r="J87" s="4" t="str">
        <f>IF(F87="","Sin evaluar (núcleo, cuenta como 0) – "&amp;INDEX(Rubricas!$F$4:$F$112,MATCH(A87,Rubricas!$A$4:$A$112,0)),IF(F87="N/A","⚠ Este criterio no admite N/A: calificar de 0 a 3.",IF(F87&lt;=1,INDEX(Rubricas!$O$4:$O$112,MATCH(A87,Rubricas!$A$4:$A$112,0)),IF(F87=2,"Por completar o validar – "&amp;INDEX(Rubricas!$F$4:$F$112,MATCH(A87,Rubricas!$A$4:$A$112,0)),""))))</f>
        <v>Sin evaluar (núcleo, cuenta como 0) – Frontera del software definida</v>
      </c>
      <c r="K87" s="23">
        <f>IF(ISNUMBER(F87),IF(F87&lt;3,(3-F87)*E87*VLOOKUP(B87,Parametros!$A$5:$D$15,4,0)*100+ROW()/100000,0),IF(F87="",3*E87*VLOOKUP(B87,Parametros!$A$5:$D$15,4,0)*100+ROW()/100000,0))</f>
        <v>108.00087000000001</v>
      </c>
    </row>
    <row r="88" spans="1:11" ht="54" customHeight="1">
      <c r="A88" s="9" t="s">
        <v>212</v>
      </c>
      <c r="B88" s="9" t="s">
        <v>48</v>
      </c>
      <c r="C88" s="4" t="s">
        <v>203</v>
      </c>
      <c r="D88" s="4" t="s">
        <v>1314</v>
      </c>
      <c r="E88" s="19">
        <f>INDEX(Rubricas!$M$4:$M$112,MATCH(A88,Rubricas!$A$4:$A$112,0))</f>
        <v>2</v>
      </c>
      <c r="F88" s="22"/>
      <c r="G88" s="17"/>
      <c r="H88" s="9">
        <f>IF(ISNUMBER(F88),F88*E88,0)</f>
        <v>0</v>
      </c>
      <c r="I88" s="9">
        <f>IF(F88="N/A",0,3*E88)</f>
        <v>6</v>
      </c>
      <c r="J88" s="4" t="str">
        <f>IF(F88="","Sin evaluar (núcleo, cuenta como 0) – "&amp;INDEX(Rubricas!$F$4:$F$112,MATCH(A88,Rubricas!$A$4:$A$112,0)),IF(F88="N/A","⚠ Este criterio no admite N/A: calificar de 0 a 3.",IF(F88&lt;=1,INDEX(Rubricas!$O$4:$O$112,MATCH(A88,Rubricas!$A$4:$A$112,0)),IF(F88=2,"Por completar o validar – "&amp;INDEX(Rubricas!$F$4:$F$112,MATCH(A88,Rubricas!$A$4:$A$112,0)),""))))</f>
        <v>Sin evaluar (núcleo, cuenta como 0) – Capas y componentes afectados</v>
      </c>
      <c r="K88" s="23">
        <f>IF(ISNUMBER(F88),IF(F88&lt;3,(3-F88)*E88*VLOOKUP(B88,Parametros!$A$5:$D$15,4,0)*100+ROW()/100000,0),IF(F88="",3*E88*VLOOKUP(B88,Parametros!$A$5:$D$15,4,0)*100+ROW()/100000,0))</f>
        <v>72.000879999999995</v>
      </c>
    </row>
    <row r="89" spans="1:11" ht="54" customHeight="1">
      <c r="A89" s="9" t="s">
        <v>221</v>
      </c>
      <c r="B89" s="9" t="s">
        <v>48</v>
      </c>
      <c r="C89" s="4" t="s">
        <v>164</v>
      </c>
      <c r="D89" s="4" t="s">
        <v>1315</v>
      </c>
      <c r="E89" s="19">
        <f>INDEX(Rubricas!$M$4:$M$112,MATCH(A89,Rubricas!$A$4:$A$112,0))</f>
        <v>2</v>
      </c>
      <c r="F89" s="22"/>
      <c r="G89" s="17"/>
      <c r="H89" s="9">
        <f>IF(ISNUMBER(F89),F89*E89,0)</f>
        <v>0</v>
      </c>
      <c r="I89" s="9">
        <f>IF(F89="N/A",0,3*E89)</f>
        <v>6</v>
      </c>
      <c r="J89" s="4" t="str">
        <f>IF(F89="","Sin evaluar (núcleo, cuenta como 0) – "&amp;INDEX(Rubricas!$F$4:$F$112,MATCH(A89,Rubricas!$A$4:$A$112,0)),IF(F89="N/A","",IF(F89&lt;=1,INDEX(Rubricas!$O$4:$O$112,MATCH(A89,Rubricas!$A$4:$A$112,0)),IF(F89=2,"Por completar o validar – "&amp;INDEX(Rubricas!$F$4:$F$112,MATCH(A89,Rubricas!$A$4:$A$112,0)),""))))</f>
        <v>Sin evaluar (núcleo, cuenta como 0) – Documentación técnica y código del activo</v>
      </c>
      <c r="K89" s="23">
        <f>IF(ISNUMBER(F89),IF(F89&lt;3,(3-F89)*E89*VLOOKUP(B89,Parametros!$A$5:$D$15,4,0)*100+ROW()/100000,0),IF(F89="",3*E89*VLOOKUP(B89,Parametros!$A$5:$D$15,4,0)*100+ROW()/100000,0))</f>
        <v>72.000889999999998</v>
      </c>
    </row>
    <row r="90" spans="1:11" ht="54" customHeight="1">
      <c r="A90" s="9" t="s">
        <v>231</v>
      </c>
      <c r="B90" s="9" t="s">
        <v>48</v>
      </c>
      <c r="C90" s="4" t="s">
        <v>232</v>
      </c>
      <c r="D90" s="4" t="s">
        <v>1316</v>
      </c>
      <c r="E90" s="19">
        <f>INDEX(Rubricas!$M$4:$M$112,MATCH(A90,Rubricas!$A$4:$A$112,0))</f>
        <v>2</v>
      </c>
      <c r="F90" s="22"/>
      <c r="G90" s="17"/>
      <c r="H90" s="9">
        <f>IF(ISNUMBER(F90),F90*E90,0)</f>
        <v>0</v>
      </c>
      <c r="I90" s="9">
        <f>IF(F90="N/A",0,3*E90)</f>
        <v>6</v>
      </c>
      <c r="J90" s="4" t="str">
        <f>IF(F90="","Sin evaluar (núcleo, cuenta como 0) – "&amp;INDEX(Rubricas!$F$4:$F$112,MATCH(A90,Rubricas!$A$4:$A$112,0)),IF(F90="N/A","",IF(F90&lt;=1,INDEX(Rubricas!$O$4:$O$112,MATCH(A90,Rubricas!$A$4:$A$112,0)),IF(F90=2,"Por completar o validar – "&amp;INDEX(Rubricas!$F$4:$F$112,MATCH(A90,Rubricas!$A$4:$A$112,0)),""))))</f>
        <v>Sin evaluar (núcleo, cuenta como 0) – Alcance de regresión</v>
      </c>
      <c r="K90" s="23">
        <f>IF(ISNUMBER(F90),IF(F90&lt;3,(3-F90)*E90*VLOOKUP(B90,Parametros!$A$5:$D$15,4,0)*100+ROW()/100000,0),IF(F90="",3*E90*VLOOKUP(B90,Parametros!$A$5:$D$15,4,0)*100+ROW()/100000,0))</f>
        <v>72.000900000000001</v>
      </c>
    </row>
    <row r="91" spans="1:11" ht="54" customHeight="1">
      <c r="A91" s="9" t="s">
        <v>241</v>
      </c>
      <c r="B91" s="9" t="s">
        <v>48</v>
      </c>
      <c r="C91" s="4" t="s">
        <v>232</v>
      </c>
      <c r="D91" s="4" t="s">
        <v>1317</v>
      </c>
      <c r="E91" s="19">
        <f>INDEX(Rubricas!$M$4:$M$112,MATCH(A91,Rubricas!$A$4:$A$112,0))</f>
        <v>2</v>
      </c>
      <c r="F91" s="22"/>
      <c r="G91" s="17"/>
      <c r="H91" s="9">
        <f>IF(ISNUMBER(F91),F91*E91,0)</f>
        <v>0</v>
      </c>
      <c r="I91" s="9">
        <f>IF(F91="N/A",0,3*E91)</f>
        <v>6</v>
      </c>
      <c r="J91" s="4" t="str">
        <f>IF(F91="","Sin evaluar (núcleo, cuenta como 0) – "&amp;INDEX(Rubricas!$F$4:$F$112,MATCH(A91,Rubricas!$A$4:$A$112,0)),IF(F91="N/A","",IF(F91&lt;=1,INDEX(Rubricas!$O$4:$O$112,MATCH(A91,Rubricas!$A$4:$A$112,0)),IF(F91=2,"Por completar o validar – "&amp;INDEX(Rubricas!$F$4:$F$112,MATCH(A91,Rubricas!$A$4:$A$112,0)),""))))</f>
        <v>Sin evaluar (núcleo, cuenta como 0) – Equivalencia funcional en modernización</v>
      </c>
      <c r="K91" s="23">
        <f>IF(ISNUMBER(F91),IF(F91&lt;3,(3-F91)*E91*VLOOKUP(B91,Parametros!$A$5:$D$15,4,0)*100+ROW()/100000,0),IF(F91="",3*E91*VLOOKUP(B91,Parametros!$A$5:$D$15,4,0)*100+ROW()/100000,0))</f>
        <v>72.000910000000005</v>
      </c>
    </row>
    <row r="92" spans="1:11" ht="54" customHeight="1">
      <c r="A92" s="9" t="s">
        <v>250</v>
      </c>
      <c r="B92" s="9" t="s">
        <v>48</v>
      </c>
      <c r="C92" s="4" t="s">
        <v>143</v>
      </c>
      <c r="D92" s="4" t="s">
        <v>1318</v>
      </c>
      <c r="E92" s="19">
        <f>INDEX(Rubricas!$M$4:$M$112,MATCH(A92,Rubricas!$A$4:$A$112,0))</f>
        <v>1</v>
      </c>
      <c r="F92" s="22"/>
      <c r="G92" s="17"/>
      <c r="H92" s="9">
        <f>IF(ISNUMBER(F92),F92*E92,0)</f>
        <v>0</v>
      </c>
      <c r="I92" s="9">
        <f>IF(F92="N/A",0,3*E92)</f>
        <v>3</v>
      </c>
      <c r="J92" s="4" t="str">
        <f>IF(F92="","Sin evaluar (núcleo, cuenta como 0) – "&amp;INDEX(Rubricas!$F$4:$F$112,MATCH(A92,Rubricas!$A$4:$A$112,0)),IF(F92="N/A","⚠ Este criterio no admite N/A: calificar de 0 a 3.",IF(F92&lt;=1,INDEX(Rubricas!$O$4:$O$112,MATCH(A92,Rubricas!$A$4:$A$112,0)),IF(F92=2,"Por completar o validar – "&amp;INDEX(Rubricas!$F$4:$F$112,MATCH(A92,Rubricas!$A$4:$A$112,0)),""))))</f>
        <v>Sin evaluar (núcleo, cuenta como 0) – Separación correctivo vs. evolutivo</v>
      </c>
      <c r="K92" s="23">
        <f>IF(ISNUMBER(F92),IF(F92&lt;3,(3-F92)*E92*VLOOKUP(B92,Parametros!$A$5:$D$15,4,0)*100+ROW()/100000,0),IF(F92="",3*E92*VLOOKUP(B92,Parametros!$A$5:$D$15,4,0)*100+ROW()/100000,0))</f>
        <v>36.000920000000001</v>
      </c>
    </row>
    <row r="93" spans="1:11">
      <c r="A93" s="28" t="str">
        <f>"D2 · Tipo de solución / arquetipo — Núcleo · peso "&amp;TEXT(Parametros!$D$6,"0%")&amp;" · 12 criterios"</f>
        <v>D2 · Tipo de solución / arquetipo — Núcleo · peso 11% · 12 criterios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ht="54" customHeight="1">
      <c r="A94" s="9" t="s">
        <v>259</v>
      </c>
      <c r="B94" s="9" t="s">
        <v>56</v>
      </c>
      <c r="C94" s="4" t="s">
        <v>260</v>
      </c>
      <c r="D94" s="4" t="s">
        <v>1319</v>
      </c>
      <c r="E94" s="19">
        <f>INDEX(Rubricas!$M$4:$M$112,MATCH(A94,Rubricas!$A$4:$A$112,0))</f>
        <v>3</v>
      </c>
      <c r="F94" s="22"/>
      <c r="G94" s="17"/>
      <c r="H94" s="9">
        <f>IF(ISNUMBER(F94),F94*E94,0)</f>
        <v>0</v>
      </c>
      <c r="I94" s="9">
        <f>IF(F94="N/A",0,3*E94)</f>
        <v>9</v>
      </c>
      <c r="J94" s="4" t="str">
        <f>IF(F94="","Sin evaluar (núcleo, cuenta como 0) – "&amp;INDEX(Rubricas!$F$4:$F$112,MATCH(A94,Rubricas!$A$4:$A$112,0)),IF(F94="N/A","⚠ Este criterio no admite N/A: calificar de 0 a 3.",IF(F94&lt;=1,INDEX(Rubricas!$O$4:$O$112,MATCH(A94,Rubricas!$A$4:$A$112,0)),IF(F94=2,"Por completar o validar – "&amp;INDEX(Rubricas!$F$4:$F$112,MATCH(A94,Rubricas!$A$4:$A$112,0)),""))))</f>
        <v>Sin evaluar (núcleo, cuenta como 0) – Objeto tecnológico predominante</v>
      </c>
      <c r="K94" s="23">
        <f>IF(ISNUMBER(F94),IF(F94&lt;3,(3-F94)*E94*VLOOKUP(B94,Parametros!$A$5:$D$15,4,0)*100+ROW()/100000,0),IF(F94="",3*E94*VLOOKUP(B94,Parametros!$A$5:$D$15,4,0)*100+ROW()/100000,0))</f>
        <v>99.00094</v>
      </c>
    </row>
    <row r="95" spans="1:11" ht="54" customHeight="1">
      <c r="A95" s="9" t="s">
        <v>269</v>
      </c>
      <c r="B95" s="9" t="s">
        <v>56</v>
      </c>
      <c r="C95" s="4" t="s">
        <v>260</v>
      </c>
      <c r="D95" s="4" t="s">
        <v>1320</v>
      </c>
      <c r="E95" s="19">
        <f>INDEX(Rubricas!$M$4:$M$112,MATCH(A95,Rubricas!$A$4:$A$112,0))</f>
        <v>3</v>
      </c>
      <c r="F95" s="22"/>
      <c r="G95" s="17"/>
      <c r="H95" s="9">
        <f>IF(ISNUMBER(F95),F95*E95,0)</f>
        <v>0</v>
      </c>
      <c r="I95" s="9">
        <f>IF(F95="N/A",0,3*E95)</f>
        <v>9</v>
      </c>
      <c r="J95" s="4" t="str">
        <f>IF(F95="","Sin evaluar (núcleo, cuenta como 0) – "&amp;INDEX(Rubricas!$F$4:$F$112,MATCH(A95,Rubricas!$A$4:$A$112,0)),IF(F95="N/A","⚠ Este criterio no admite N/A: calificar de 0 a 3.",IF(F95&lt;=1,INDEX(Rubricas!$O$4:$O$112,MATCH(A95,Rubricas!$A$4:$A$112,0)),IF(F95=2,"Por completar o validar – "&amp;INDEX(Rubricas!$F$4:$F$112,MATCH(A95,Rubricas!$A$4:$A$112,0)),""))))</f>
        <v>Sin evaluar (núcleo, cuenta como 0) – Arquetipo principal según esfuerzo</v>
      </c>
      <c r="K95" s="23">
        <f>IF(ISNUMBER(F95),IF(F95&lt;3,(3-F95)*E95*VLOOKUP(B95,Parametros!$A$5:$D$15,4,0)*100+ROW()/100000,0),IF(F95="",3*E95*VLOOKUP(B95,Parametros!$A$5:$D$15,4,0)*100+ROW()/100000,0))</f>
        <v>99.000950000000003</v>
      </c>
    </row>
    <row r="96" spans="1:11" ht="54" customHeight="1">
      <c r="A96" s="9" t="s">
        <v>277</v>
      </c>
      <c r="B96" s="9" t="s">
        <v>56</v>
      </c>
      <c r="C96" s="4" t="s">
        <v>278</v>
      </c>
      <c r="D96" s="4" t="s">
        <v>1321</v>
      </c>
      <c r="E96" s="19">
        <f>INDEX(Rubricas!$M$4:$M$112,MATCH(A96,Rubricas!$A$4:$A$112,0))</f>
        <v>2</v>
      </c>
      <c r="F96" s="22"/>
      <c r="G96" s="17"/>
      <c r="H96" s="9">
        <f>IF(ISNUMBER(F96),F96*E96,0)</f>
        <v>0</v>
      </c>
      <c r="I96" s="9">
        <f>IF(F96="N/A",0,3*E96)</f>
        <v>6</v>
      </c>
      <c r="J96" s="4" t="str">
        <f>IF(F96="","Sin evaluar (núcleo, cuenta como 0) – "&amp;INDEX(Rubricas!$F$4:$F$112,MATCH(A96,Rubricas!$A$4:$A$112,0)),IF(F96="N/A","⚠ Este criterio no admite N/A: calificar de 0 a 3.",IF(F96&lt;=1,INDEX(Rubricas!$O$4:$O$112,MATCH(A96,Rubricas!$A$4:$A$112,0)),IF(F96=2,"Por completar o validar – "&amp;INDEX(Rubricas!$F$4:$F$112,MATCH(A96,Rubricas!$A$4:$A$112,0)),""))))</f>
        <v>Sin evaluar (núcleo, cuenta como 0) – Distribución del alcance por arquetipo</v>
      </c>
      <c r="K96" s="23">
        <f>IF(ISNUMBER(F96),IF(F96&lt;3,(3-F96)*E96*VLOOKUP(B96,Parametros!$A$5:$D$15,4,0)*100+ROW()/100000,0),IF(F96="",3*E96*VLOOKUP(B96,Parametros!$A$5:$D$15,4,0)*100+ROW()/100000,0))</f>
        <v>66.000960000000006</v>
      </c>
    </row>
    <row r="97" spans="1:11" ht="54" customHeight="1">
      <c r="A97" s="9" t="s">
        <v>287</v>
      </c>
      <c r="B97" s="9" t="s">
        <v>56</v>
      </c>
      <c r="C97" s="4" t="s">
        <v>278</v>
      </c>
      <c r="D97" s="4" t="s">
        <v>1322</v>
      </c>
      <c r="E97" s="19">
        <f>INDEX(Rubricas!$M$4:$M$112,MATCH(A97,Rubricas!$A$4:$A$112,0))</f>
        <v>2</v>
      </c>
      <c r="F97" s="22"/>
      <c r="G97" s="17"/>
      <c r="H97" s="9">
        <f>IF(ISNUMBER(F97),F97*E97,0)</f>
        <v>0</v>
      </c>
      <c r="I97" s="9">
        <f>IF(F97="N/A",0,3*E97)</f>
        <v>6</v>
      </c>
      <c r="J97" s="4" t="str">
        <f>IF(F97="","Sin evaluar (núcleo, cuenta como 0) – "&amp;INDEX(Rubricas!$F$4:$F$112,MATCH(A97,Rubricas!$A$4:$A$112,0)),IF(F97="N/A","⚠ Este criterio no admite N/A: calificar de 0 a 3.",IF(F97&lt;=1,INDEX(Rubricas!$O$4:$O$112,MATCH(A97,Rubricas!$A$4:$A$112,0)),IF(F97=2,"Por completar o validar – "&amp;INDEX(Rubricas!$F$4:$F$112,MATCH(A97,Rubricas!$A$4:$A$112,0)),""))))</f>
        <v>Sin evaluar (núcleo, cuenta como 0) – Arquetipos secundarios</v>
      </c>
      <c r="K97" s="23">
        <f>IF(ISNUMBER(F97),IF(F97&lt;3,(3-F97)*E97*VLOOKUP(B97,Parametros!$A$5:$D$15,4,0)*100+ROW()/100000,0),IF(F97="",3*E97*VLOOKUP(B97,Parametros!$A$5:$D$15,4,0)*100+ROW()/100000,0))</f>
        <v>66.000969999999995</v>
      </c>
    </row>
    <row r="98" spans="1:11" ht="54" customHeight="1">
      <c r="A98" s="9" t="s">
        <v>296</v>
      </c>
      <c r="B98" s="9" t="s">
        <v>56</v>
      </c>
      <c r="C98" s="4" t="s">
        <v>297</v>
      </c>
      <c r="D98" s="4" t="s">
        <v>1323</v>
      </c>
      <c r="E98" s="19">
        <f>INDEX(Rubricas!$M$4:$M$112,MATCH(A98,Rubricas!$A$4:$A$112,0))</f>
        <v>1</v>
      </c>
      <c r="F98" s="22"/>
      <c r="G98" s="17"/>
      <c r="H98" s="9">
        <f>IF(ISNUMBER(F98),F98*E98,0)</f>
        <v>0</v>
      </c>
      <c r="I98" s="9">
        <f>IF(F98="N/A",0,3*E98)</f>
        <v>3</v>
      </c>
      <c r="J98" s="4" t="str">
        <f>IF(F98="","Sin evaluar (núcleo, cuenta como 0) – "&amp;INDEX(Rubricas!$F$4:$F$112,MATCH(A98,Rubricas!$A$4:$A$112,0)),IF(F98="N/A","⚠ Este criterio no admite N/A: calificar de 0 a 3.",IF(F98&lt;=1,INDEX(Rubricas!$O$4:$O$112,MATCH(A98,Rubricas!$A$4:$A$112,0)),IF(F98=2,"Por completar o validar – "&amp;INDEX(Rubricas!$F$4:$F$112,MATCH(A98,Rubricas!$A$4:$A$112,0)),""))))</f>
        <v>Sin evaluar (núcleo, cuenta como 0) – Independencia del nombre comercial</v>
      </c>
      <c r="K98" s="23">
        <f>IF(ISNUMBER(F98),IF(F98&lt;3,(3-F98)*E98*VLOOKUP(B98,Parametros!$A$5:$D$15,4,0)*100+ROW()/100000,0),IF(F98="",3*E98*VLOOKUP(B98,Parametros!$A$5:$D$15,4,0)*100+ROW()/100000,0))</f>
        <v>33.000979999999998</v>
      </c>
    </row>
    <row r="99" spans="1:11" ht="54" customHeight="1">
      <c r="A99" s="9" t="s">
        <v>306</v>
      </c>
      <c r="B99" s="9" t="s">
        <v>56</v>
      </c>
      <c r="C99" s="4" t="s">
        <v>307</v>
      </c>
      <c r="D99" s="4" t="s">
        <v>1324</v>
      </c>
      <c r="E99" s="19">
        <f>INDEX(Rubricas!$M$4:$M$112,MATCH(A99,Rubricas!$A$4:$A$112,0))</f>
        <v>3</v>
      </c>
      <c r="F99" s="22"/>
      <c r="G99" s="17"/>
      <c r="H99" s="9">
        <f>IF(ISNUMBER(F99),F99*E99,0)</f>
        <v>0</v>
      </c>
      <c r="I99" s="9">
        <f>IF(F99="N/A",0,3*E99)</f>
        <v>9</v>
      </c>
      <c r="J99" s="4" t="str">
        <f>IF(F99="","Sin evaluar (núcleo, cuenta como 0) – "&amp;INDEX(Rubricas!$F$4:$F$112,MATCH(A99,Rubricas!$A$4:$A$112,0)),IF(F99="N/A","⚠ Este criterio no admite N/A: calificar de 0 a 3.",IF(F99&lt;=1,INDEX(Rubricas!$O$4:$O$112,MATCH(A99,Rubricas!$A$4:$A$112,0)),IF(F99=2,"Por completar o validar – "&amp;INDEX(Rubricas!$F$4:$F$112,MATCH(A99,Rubricas!$A$4:$A$112,0)),""))))</f>
        <v>Sin evaluar (núcleo, cuenta como 0) – Drivers del arquetipo principal</v>
      </c>
      <c r="K99" s="23">
        <f>IF(ISNUMBER(F99),IF(F99&lt;3,(3-F99)*E99*VLOOKUP(B99,Parametros!$A$5:$D$15,4,0)*100+ROW()/100000,0),IF(F99="",3*E99*VLOOKUP(B99,Parametros!$A$5:$D$15,4,0)*100+ROW()/100000,0))</f>
        <v>99.000990000000002</v>
      </c>
    </row>
    <row r="100" spans="1:11" ht="54" customHeight="1">
      <c r="A100" s="9" t="s">
        <v>315</v>
      </c>
      <c r="B100" s="9" t="s">
        <v>56</v>
      </c>
      <c r="C100" s="4" t="s">
        <v>307</v>
      </c>
      <c r="D100" s="4" t="s">
        <v>1325</v>
      </c>
      <c r="E100" s="19">
        <f>INDEX(Rubricas!$M$4:$M$112,MATCH(A100,Rubricas!$A$4:$A$112,0))</f>
        <v>2</v>
      </c>
      <c r="F100" s="22"/>
      <c r="G100" s="17"/>
      <c r="H100" s="9">
        <f>IF(ISNUMBER(F100),F100*E100,0)</f>
        <v>0</v>
      </c>
      <c r="I100" s="9">
        <f>IF(F100="N/A",0,3*E100)</f>
        <v>6</v>
      </c>
      <c r="J100" s="4" t="str">
        <f>IF(F100="","Sin evaluar (núcleo, cuenta como 0) – "&amp;INDEX(Rubricas!$F$4:$F$112,MATCH(A100,Rubricas!$A$4:$A$112,0)),IF(F100="N/A","",IF(F100&lt;=1,INDEX(Rubricas!$O$4:$O$112,MATCH(A100,Rubricas!$A$4:$A$112,0)),IF(F100=2,"Por completar o validar – "&amp;INDEX(Rubricas!$F$4:$F$112,MATCH(A100,Rubricas!$A$4:$A$112,0)),""))))</f>
        <v>Sin evaluar (núcleo, cuenta como 0) – Drivers de arquetipos secundarios</v>
      </c>
      <c r="K100" s="23">
        <f>IF(ISNUMBER(F100),IF(F100&lt;3,(3-F100)*E100*VLOOKUP(B100,Parametros!$A$5:$D$15,4,0)*100+ROW()/100000,0),IF(F100="",3*E100*VLOOKUP(B100,Parametros!$A$5:$D$15,4,0)*100+ROW()/100000,0))</f>
        <v>66.001000000000005</v>
      </c>
    </row>
    <row r="101" spans="1:11" ht="54" customHeight="1">
      <c r="A101" s="9" t="s">
        <v>322</v>
      </c>
      <c r="B101" s="9" t="s">
        <v>56</v>
      </c>
      <c r="C101" s="4" t="s">
        <v>260</v>
      </c>
      <c r="D101" s="4" t="s">
        <v>1326</v>
      </c>
      <c r="E101" s="19">
        <f>INDEX(Rubricas!$M$4:$M$112,MATCH(A101,Rubricas!$A$4:$A$112,0))</f>
        <v>2</v>
      </c>
      <c r="F101" s="22"/>
      <c r="G101" s="17"/>
      <c r="H101" s="9">
        <f>IF(ISNUMBER(F101),F101*E101,0)</f>
        <v>0</v>
      </c>
      <c r="I101" s="9">
        <f>IF(F101="N/A",0,3*E101)</f>
        <v>6</v>
      </c>
      <c r="J101" s="4" t="str">
        <f>IF(F101="","Sin evaluar (núcleo, cuenta como 0) – "&amp;INDEX(Rubricas!$F$4:$F$112,MATCH(A101,Rubricas!$A$4:$A$112,0)),IF(F101="N/A","⚠ Este criterio no admite N/A: calificar de 0 a 3.",IF(F101&lt;=1,INDEX(Rubricas!$O$4:$O$112,MATCH(A101,Rubricas!$A$4:$A$112,0)),IF(F101=2,"Por completar o validar – "&amp;INDEX(Rubricas!$F$4:$F$112,MATCH(A101,Rubricas!$A$4:$A$112,0)),""))))</f>
        <v>Sin evaluar (núcleo, cuenta como 0) – Tipo de usuario funcional predominante</v>
      </c>
      <c r="K101" s="23">
        <f>IF(ISNUMBER(F101),IF(F101&lt;3,(3-F101)*E101*VLOOKUP(B101,Parametros!$A$5:$D$15,4,0)*100+ROW()/100000,0),IF(F101="",3*E101*VLOOKUP(B101,Parametros!$A$5:$D$15,4,0)*100+ROW()/100000,0))</f>
        <v>66.001009999999994</v>
      </c>
    </row>
    <row r="102" spans="1:11" ht="54" customHeight="1">
      <c r="A102" s="9" t="s">
        <v>330</v>
      </c>
      <c r="B102" s="9" t="s">
        <v>56</v>
      </c>
      <c r="C102" s="4" t="s">
        <v>278</v>
      </c>
      <c r="D102" s="4" t="s">
        <v>1327</v>
      </c>
      <c r="E102" s="19">
        <f>INDEX(Rubricas!$M$4:$M$112,MATCH(A102,Rubricas!$A$4:$A$112,0))</f>
        <v>2</v>
      </c>
      <c r="F102" s="22"/>
      <c r="G102" s="17"/>
      <c r="H102" s="9">
        <f>IF(ISNUMBER(F102),F102*E102,0)</f>
        <v>0</v>
      </c>
      <c r="I102" s="9">
        <f>IF(F102="N/A",0,3*E102)</f>
        <v>6</v>
      </c>
      <c r="J102" s="4" t="str">
        <f>IF(F102="","Sin evaluar (núcleo, cuenta como 0) – "&amp;INDEX(Rubricas!$F$4:$F$112,MATCH(A102,Rubricas!$A$4:$A$112,0)),IF(F102="N/A","",IF(F102&lt;=1,INDEX(Rubricas!$O$4:$O$112,MATCH(A102,Rubricas!$A$4:$A$112,0)),IF(F102=2,"Por completar o validar – "&amp;INDEX(Rubricas!$F$4:$F$112,MATCH(A102,Rubricas!$A$4:$A$112,0)),""))))</f>
        <v>Sin evaluar (núcleo, cuenta como 0) – Componentes de terceros / SaaS</v>
      </c>
      <c r="K102" s="23">
        <f>IF(ISNUMBER(F102),IF(F102&lt;3,(3-F102)*E102*VLOOKUP(B102,Parametros!$A$5:$D$15,4,0)*100+ROW()/100000,0),IF(F102="",3*E102*VLOOKUP(B102,Parametros!$A$5:$D$15,4,0)*100+ROW()/100000,0))</f>
        <v>66.001019999999997</v>
      </c>
    </row>
    <row r="103" spans="1:11" ht="54" customHeight="1">
      <c r="A103" s="9" t="s">
        <v>338</v>
      </c>
      <c r="B103" s="9" t="s">
        <v>56</v>
      </c>
      <c r="C103" s="4" t="s">
        <v>278</v>
      </c>
      <c r="D103" s="4" t="s">
        <v>1328</v>
      </c>
      <c r="E103" s="19">
        <f>INDEX(Rubricas!$M$4:$M$112,MATCH(A103,Rubricas!$A$4:$A$112,0))</f>
        <v>1</v>
      </c>
      <c r="F103" s="22"/>
      <c r="G103" s="17"/>
      <c r="H103" s="9">
        <f>IF(ISNUMBER(F103),F103*E103,0)</f>
        <v>0</v>
      </c>
      <c r="I103" s="9">
        <f>IF(F103="N/A",0,3*E103)</f>
        <v>3</v>
      </c>
      <c r="J103" s="4" t="str">
        <f>IF(F103="","Sin evaluar (núcleo, cuenta como 0) – "&amp;INDEX(Rubricas!$F$4:$F$112,MATCH(A103,Rubricas!$A$4:$A$112,0)),IF(F103="N/A","⚠ Este criterio no admite N/A: calificar de 0 a 3.",IF(F103&lt;=1,INDEX(Rubricas!$O$4:$O$112,MATCH(A103,Rubricas!$A$4:$A$112,0)),IF(F103=2,"Por completar o validar – "&amp;INDEX(Rubricas!$F$4:$F$112,MATCH(A103,Rubricas!$A$4:$A$112,0)),""))))</f>
        <v>Sin evaluar (núcleo, cuenta como 0) – Entregables no software separados</v>
      </c>
      <c r="K103" s="23">
        <f>IF(ISNUMBER(F103),IF(F103&lt;3,(3-F103)*E103*VLOOKUP(B103,Parametros!$A$5:$D$15,4,0)*100+ROW()/100000,0),IF(F103="",3*E103*VLOOKUP(B103,Parametros!$A$5:$D$15,4,0)*100+ROW()/100000,0))</f>
        <v>33.00103</v>
      </c>
    </row>
    <row r="104" spans="1:11" ht="54" customHeight="1">
      <c r="A104" s="9" t="s">
        <v>347</v>
      </c>
      <c r="B104" s="9" t="s">
        <v>56</v>
      </c>
      <c r="C104" s="4" t="s">
        <v>297</v>
      </c>
      <c r="D104" s="4" t="s">
        <v>1329</v>
      </c>
      <c r="E104" s="19">
        <f>INDEX(Rubricas!$M$4:$M$112,MATCH(A104,Rubricas!$A$4:$A$112,0))</f>
        <v>1</v>
      </c>
      <c r="F104" s="22"/>
      <c r="G104" s="17"/>
      <c r="H104" s="9">
        <f>IF(ISNUMBER(F104),F104*E104,0)</f>
        <v>0</v>
      </c>
      <c r="I104" s="9">
        <f>IF(F104="N/A",0,3*E104)</f>
        <v>3</v>
      </c>
      <c r="J104" s="4" t="str">
        <f>IF(F104="","Sin evaluar (núcleo, cuenta como 0) – "&amp;INDEX(Rubricas!$F$4:$F$112,MATCH(A104,Rubricas!$A$4:$A$112,0)),IF(F104="N/A","",IF(F104&lt;=1,INDEX(Rubricas!$O$4:$O$112,MATCH(A104,Rubricas!$A$4:$A$112,0)),IF(F104=2,"Por completar o validar – "&amp;INDEX(Rubricas!$F$4:$F$112,MATCH(A104,Rubricas!$A$4:$A$112,0)),""))))</f>
        <v>Sin evaluar (núcleo, cuenta como 0) – Resolución de solapamientos</v>
      </c>
      <c r="K104" s="23">
        <f>IF(ISNUMBER(F104),IF(F104&lt;3,(3-F104)*E104*VLOOKUP(B104,Parametros!$A$5:$D$15,4,0)*100+ROW()/100000,0),IF(F104="",3*E104*VLOOKUP(B104,Parametros!$A$5:$D$15,4,0)*100+ROW()/100000,0))</f>
        <v>33.001040000000003</v>
      </c>
    </row>
    <row r="105" spans="1:11" ht="54" customHeight="1">
      <c r="A105" s="9" t="s">
        <v>356</v>
      </c>
      <c r="B105" s="9" t="s">
        <v>56</v>
      </c>
      <c r="C105" s="4" t="s">
        <v>297</v>
      </c>
      <c r="D105" s="4" t="s">
        <v>1330</v>
      </c>
      <c r="E105" s="19">
        <f>INDEX(Rubricas!$M$4:$M$112,MATCH(A105,Rubricas!$A$4:$A$112,0))</f>
        <v>1</v>
      </c>
      <c r="F105" s="22"/>
      <c r="G105" s="17"/>
      <c r="H105" s="9">
        <f>IF(ISNUMBER(F105),F105*E105,0)</f>
        <v>0</v>
      </c>
      <c r="I105" s="9">
        <f>IF(F105="N/A",0,3*E105)</f>
        <v>3</v>
      </c>
      <c r="J105" s="4" t="str">
        <f>IF(F105="","Sin evaluar (núcleo, cuenta como 0) – "&amp;INDEX(Rubricas!$F$4:$F$112,MATCH(A105,Rubricas!$A$4:$A$112,0)),IF(F105="N/A","⚠ Este criterio no admite N/A: calificar de 0 a 3.",IF(F105&lt;=1,INDEX(Rubricas!$O$4:$O$112,MATCH(A105,Rubricas!$A$4:$A$112,0)),IF(F105=2,"Por completar o validar – "&amp;INDEX(Rubricas!$F$4:$F$112,MATCH(A105,Rubricas!$A$4:$A$112,0)),""))))</f>
        <v>Sin evaluar (núcleo, cuenta como 0) – Clasificación validada</v>
      </c>
      <c r="K105" s="23">
        <f>IF(ISNUMBER(F105),IF(F105&lt;3,(3-F105)*E105*VLOOKUP(B105,Parametros!$A$5:$D$15,4,0)*100+ROW()/100000,0),IF(F105="",3*E105*VLOOKUP(B105,Parametros!$A$5:$D$15,4,0)*100+ROW()/100000,0))</f>
        <v>33.001049999999999</v>
      </c>
    </row>
    <row r="106" spans="1:11">
      <c r="A106" s="28" t="str">
        <f>"D3 · Tamaño funcional — Núcleo · peso "&amp;TEXT(Parametros!$D$7,"0%")&amp;" · 14 criterios"</f>
        <v>D3 · Tamaño funcional — Núcleo · peso 18% · 14 criterios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spans="1:11" ht="54" customHeight="1">
      <c r="A107" s="9" t="s">
        <v>365</v>
      </c>
      <c r="B107" s="9" t="s">
        <v>63</v>
      </c>
      <c r="C107" s="4" t="s">
        <v>366</v>
      </c>
      <c r="D107" s="4" t="s">
        <v>1331</v>
      </c>
      <c r="E107" s="19">
        <f>INDEX(Rubricas!$M$4:$M$112,MATCH(A107,Rubricas!$A$4:$A$112,0))</f>
        <v>3</v>
      </c>
      <c r="F107" s="22"/>
      <c r="G107" s="17"/>
      <c r="H107" s="9">
        <f>IF(ISNUMBER(F107),F107*E107,0)</f>
        <v>0</v>
      </c>
      <c r="I107" s="9">
        <f>IF(F107="N/A",0,3*E107)</f>
        <v>9</v>
      </c>
      <c r="J107" s="4" t="str">
        <f>IF(F107="","Sin evaluar (núcleo, cuenta como 0) – "&amp;INDEX(Rubricas!$F$4:$F$112,MATCH(A107,Rubricas!$A$4:$A$112,0)),IF(F107="N/A","⚠ Este criterio no admite N/A: calificar de 0 a 3.",IF(F107&lt;=1,INDEX(Rubricas!$O$4:$O$112,MATCH(A107,Rubricas!$A$4:$A$112,0)),IF(F107=2,"Por completar o validar – "&amp;INDEX(Rubricas!$F$4:$F$112,MATCH(A107,Rubricas!$A$4:$A$112,0)),""))))</f>
        <v>Sin evaluar (núcleo, cuenta como 0) – Propósito y alcance de la medición</v>
      </c>
      <c r="K107" s="23">
        <f>IF(ISNUMBER(F107),IF(F107&lt;3,(3-F107)*E107*VLOOKUP(B107,Parametros!$A$5:$D$15,4,0)*100+ROW()/100000,0),IF(F107="",3*E107*VLOOKUP(B107,Parametros!$A$5:$D$15,4,0)*100+ROW()/100000,0))</f>
        <v>162.00107</v>
      </c>
    </row>
    <row r="108" spans="1:11" ht="54" customHeight="1">
      <c r="A108" s="9" t="s">
        <v>374</v>
      </c>
      <c r="B108" s="9" t="s">
        <v>63</v>
      </c>
      <c r="C108" s="4" t="s">
        <v>366</v>
      </c>
      <c r="D108" s="4" t="s">
        <v>1332</v>
      </c>
      <c r="E108" s="19">
        <f>INDEX(Rubricas!$M$4:$M$112,MATCH(A108,Rubricas!$A$4:$A$112,0))</f>
        <v>2</v>
      </c>
      <c r="F108" s="22"/>
      <c r="G108" s="17"/>
      <c r="H108" s="9">
        <f>IF(ISNUMBER(F108),F108*E108,0)</f>
        <v>0</v>
      </c>
      <c r="I108" s="9">
        <f>IF(F108="N/A",0,3*E108)</f>
        <v>6</v>
      </c>
      <c r="J108" s="4" t="str">
        <f>IF(F108="","Sin evaluar (núcleo, cuenta como 0) – "&amp;INDEX(Rubricas!$F$4:$F$112,MATCH(A108,Rubricas!$A$4:$A$112,0)),IF(F108="N/A","⚠ Este criterio no admite N/A: calificar de 0 a 3.",IF(F108&lt;=1,INDEX(Rubricas!$O$4:$O$112,MATCH(A108,Rubricas!$A$4:$A$112,0)),IF(F108=2,"Por completar o validar – "&amp;INDEX(Rubricas!$F$4:$F$112,MATCH(A108,Rubricas!$A$4:$A$112,0)),""))))</f>
        <v>Sin evaluar (núcleo, cuenta como 0) – Nivel de granularidad homogéneo</v>
      </c>
      <c r="K108" s="23">
        <f>IF(ISNUMBER(F108),IF(F108&lt;3,(3-F108)*E108*VLOOKUP(B108,Parametros!$A$5:$D$15,4,0)*100+ROW()/100000,0),IF(F108="",3*E108*VLOOKUP(B108,Parametros!$A$5:$D$15,4,0)*100+ROW()/100000,0))</f>
        <v>108.00108</v>
      </c>
    </row>
    <row r="109" spans="1:11" ht="54" customHeight="1">
      <c r="A109" s="9" t="s">
        <v>383</v>
      </c>
      <c r="B109" s="9" t="s">
        <v>63</v>
      </c>
      <c r="C109" s="4" t="s">
        <v>384</v>
      </c>
      <c r="D109" s="4" t="s">
        <v>1333</v>
      </c>
      <c r="E109" s="19">
        <f>INDEX(Rubricas!$M$4:$M$112,MATCH(A109,Rubricas!$A$4:$A$112,0))</f>
        <v>3</v>
      </c>
      <c r="F109" s="22"/>
      <c r="G109" s="17"/>
      <c r="H109" s="9">
        <f>IF(ISNUMBER(F109),F109*E109,0)</f>
        <v>0</v>
      </c>
      <c r="I109" s="9">
        <f>IF(F109="N/A",0,3*E109)</f>
        <v>9</v>
      </c>
      <c r="J109" s="4" t="str">
        <f>IF(F109="","Sin evaluar (núcleo, cuenta como 0) – "&amp;INDEX(Rubricas!$F$4:$F$112,MATCH(A109,Rubricas!$A$4:$A$112,0)),IF(F109="N/A","⚠ Este criterio no admite N/A: calificar de 0 a 3.",IF(F109&lt;=1,INDEX(Rubricas!$O$4:$O$112,MATCH(A109,Rubricas!$A$4:$A$112,0)),IF(F109=2,"Por completar o validar – "&amp;INDEX(Rubricas!$F$4:$F$112,MATCH(A109,Rubricas!$A$4:$A$112,0)),""))))</f>
        <v>Sin evaluar (núcleo, cuenta como 0) – Usuarios funcionales identificados</v>
      </c>
      <c r="K109" s="23">
        <f>IF(ISNUMBER(F109),IF(F109&lt;3,(3-F109)*E109*VLOOKUP(B109,Parametros!$A$5:$D$15,4,0)*100+ROW()/100000,0),IF(F109="",3*E109*VLOOKUP(B109,Parametros!$A$5:$D$15,4,0)*100+ROW()/100000,0))</f>
        <v>162.00109</v>
      </c>
    </row>
    <row r="110" spans="1:11" ht="54" customHeight="1">
      <c r="A110" s="9" t="s">
        <v>391</v>
      </c>
      <c r="B110" s="9" t="s">
        <v>63</v>
      </c>
      <c r="C110" s="4" t="s">
        <v>392</v>
      </c>
      <c r="D110" s="4" t="s">
        <v>1334</v>
      </c>
      <c r="E110" s="19">
        <f>INDEX(Rubricas!$M$4:$M$112,MATCH(A110,Rubricas!$A$4:$A$112,0))</f>
        <v>2</v>
      </c>
      <c r="F110" s="22"/>
      <c r="G110" s="17"/>
      <c r="H110" s="9">
        <f>IF(ISNUMBER(F110),F110*E110,0)</f>
        <v>0</v>
      </c>
      <c r="I110" s="9">
        <f>IF(F110="N/A",0,3*E110)</f>
        <v>6</v>
      </c>
      <c r="J110" s="4" t="str">
        <f>IF(F110="","Sin evaluar (núcleo, cuenta como 0) – "&amp;INDEX(Rubricas!$F$4:$F$112,MATCH(A110,Rubricas!$A$4:$A$112,0)),IF(F110="N/A","⚠ Este criterio no admite N/A: calificar de 0 a 3.",IF(F110&lt;=1,INDEX(Rubricas!$O$4:$O$112,MATCH(A110,Rubricas!$A$4:$A$112,0)),IF(F110=2,"Por completar o validar – "&amp;INDEX(Rubricas!$F$4:$F$112,MATCH(A110,Rubricas!$A$4:$A$112,0)),""))))</f>
        <v>Sin evaluar (núcleo, cuenta como 0) – Eventos desencadenantes</v>
      </c>
      <c r="K110" s="23">
        <f>IF(ISNUMBER(F110),IF(F110&lt;3,(3-F110)*E110*VLOOKUP(B110,Parametros!$A$5:$D$15,4,0)*100+ROW()/100000,0),IF(F110="",3*E110*VLOOKUP(B110,Parametros!$A$5:$D$15,4,0)*100+ROW()/100000,0))</f>
        <v>108.00109999999999</v>
      </c>
    </row>
    <row r="111" spans="1:11" ht="54" customHeight="1">
      <c r="A111" s="9" t="s">
        <v>400</v>
      </c>
      <c r="B111" s="9" t="s">
        <v>63</v>
      </c>
      <c r="C111" s="4" t="s">
        <v>392</v>
      </c>
      <c r="D111" s="4" t="s">
        <v>1335</v>
      </c>
      <c r="E111" s="19">
        <f>INDEX(Rubricas!$M$4:$M$112,MATCH(A111,Rubricas!$A$4:$A$112,0))</f>
        <v>3</v>
      </c>
      <c r="F111" s="22"/>
      <c r="G111" s="17"/>
      <c r="H111" s="9">
        <f>IF(ISNUMBER(F111),F111*E111,0)</f>
        <v>0</v>
      </c>
      <c r="I111" s="9">
        <f>IF(F111="N/A",0,3*E111)</f>
        <v>9</v>
      </c>
      <c r="J111" s="4" t="str">
        <f>IF(F111="","Sin evaluar (núcleo, cuenta como 0) – "&amp;INDEX(Rubricas!$F$4:$F$112,MATCH(A111,Rubricas!$A$4:$A$112,0)),IF(F111="N/A","⚠ Este criterio no admite N/A: calificar de 0 a 3.",IF(F111&lt;=1,INDEX(Rubricas!$O$4:$O$112,MATCH(A111,Rubricas!$A$4:$A$112,0)),IF(F111=2,"Por completar o validar – "&amp;INDEX(Rubricas!$F$4:$F$112,MATCH(A111,Rubricas!$A$4:$A$112,0)),""))))</f>
        <v>Sin evaluar (núcleo, cuenta como 0) – Inventario de procesos funcionales</v>
      </c>
      <c r="K111" s="23">
        <f>IF(ISNUMBER(F111),IF(F111&lt;3,(3-F111)*E111*VLOOKUP(B111,Parametros!$A$5:$D$15,4,0)*100+ROW()/100000,0),IF(F111="",3*E111*VLOOKUP(B111,Parametros!$A$5:$D$15,4,0)*100+ROW()/100000,0))</f>
        <v>162.00111000000001</v>
      </c>
    </row>
    <row r="112" spans="1:11" ht="54" customHeight="1">
      <c r="A112" s="9" t="s">
        <v>409</v>
      </c>
      <c r="B112" s="9" t="s">
        <v>63</v>
      </c>
      <c r="C112" s="4" t="s">
        <v>410</v>
      </c>
      <c r="D112" s="4" t="s">
        <v>1336</v>
      </c>
      <c r="E112" s="19">
        <f>INDEX(Rubricas!$M$4:$M$112,MATCH(A112,Rubricas!$A$4:$A$112,0))</f>
        <v>2</v>
      </c>
      <c r="F112" s="22"/>
      <c r="G112" s="17"/>
      <c r="H112" s="9">
        <f>IF(ISNUMBER(F112),F112*E112,0)</f>
        <v>0</v>
      </c>
      <c r="I112" s="9">
        <f>IF(F112="N/A",0,3*E112)</f>
        <v>6</v>
      </c>
      <c r="J112" s="4" t="str">
        <f>IF(F112="","Sin evaluar (núcleo, cuenta como 0) – "&amp;INDEX(Rubricas!$F$4:$F$112,MATCH(A112,Rubricas!$A$4:$A$112,0)),IF(F112="N/A","⚠ Este criterio no admite N/A: calificar de 0 a 3.",IF(F112&lt;=1,INDEX(Rubricas!$O$4:$O$112,MATCH(A112,Rubricas!$A$4:$A$112,0)),IF(F112=2,"Por completar o validar – "&amp;INDEX(Rubricas!$F$4:$F$112,MATCH(A112,Rubricas!$A$4:$A$112,0)),""))))</f>
        <v>Sin evaluar (núcleo, cuenta como 0) – Objetos de interés y grupos de datos</v>
      </c>
      <c r="K112" s="23">
        <f>IF(ISNUMBER(F112),IF(F112&lt;3,(3-F112)*E112*VLOOKUP(B112,Parametros!$A$5:$D$15,4,0)*100+ROW()/100000,0),IF(F112="",3*E112*VLOOKUP(B112,Parametros!$A$5:$D$15,4,0)*100+ROW()/100000,0))</f>
        <v>108.00112</v>
      </c>
    </row>
    <row r="113" spans="1:11" ht="54" customHeight="1">
      <c r="A113" s="9" t="s">
        <v>418</v>
      </c>
      <c r="B113" s="9" t="s">
        <v>63</v>
      </c>
      <c r="C113" s="4" t="s">
        <v>419</v>
      </c>
      <c r="D113" s="4" t="s">
        <v>1337</v>
      </c>
      <c r="E113" s="19">
        <f>INDEX(Rubricas!$M$4:$M$112,MATCH(A113,Rubricas!$A$4:$A$112,0))</f>
        <v>3</v>
      </c>
      <c r="F113" s="22"/>
      <c r="G113" s="17"/>
      <c r="H113" s="9">
        <f>IF(ISNUMBER(F113),F113*E113,0)</f>
        <v>0</v>
      </c>
      <c r="I113" s="9">
        <f>IF(F113="N/A",0,3*E113)</f>
        <v>9</v>
      </c>
      <c r="J113" s="4" t="str">
        <f>IF(F113="","Sin evaluar (núcleo, cuenta como 0) – "&amp;INDEX(Rubricas!$F$4:$F$112,MATCH(A113,Rubricas!$A$4:$A$112,0)),IF(F113="N/A","⚠ Este criterio no admite N/A: calificar de 0 a 3.",IF(F113&lt;=1,INDEX(Rubricas!$O$4:$O$112,MATCH(A113,Rubricas!$A$4:$A$112,0)),IF(F113=2,"Por completar o validar – "&amp;INDEX(Rubricas!$F$4:$F$112,MATCH(A113,Rubricas!$A$4:$A$112,0)),""))))</f>
        <v>Sin evaluar (núcleo, cuenta como 0) – Movimientos de datos por proceso</v>
      </c>
      <c r="K113" s="23">
        <f>IF(ISNUMBER(F113),IF(F113&lt;3,(3-F113)*E113*VLOOKUP(B113,Parametros!$A$5:$D$15,4,0)*100+ROW()/100000,0),IF(F113="",3*E113*VLOOKUP(B113,Parametros!$A$5:$D$15,4,0)*100+ROW()/100000,0))</f>
        <v>162.00112999999999</v>
      </c>
    </row>
    <row r="114" spans="1:11" ht="54" customHeight="1">
      <c r="A114" s="9" t="s">
        <v>427</v>
      </c>
      <c r="B114" s="9" t="s">
        <v>63</v>
      </c>
      <c r="C114" s="4" t="s">
        <v>428</v>
      </c>
      <c r="D114" s="4" t="s">
        <v>1338</v>
      </c>
      <c r="E114" s="19">
        <f>INDEX(Rubricas!$M$4:$M$112,MATCH(A114,Rubricas!$A$4:$A$112,0))</f>
        <v>3</v>
      </c>
      <c r="F114" s="22"/>
      <c r="G114" s="17"/>
      <c r="H114" s="9">
        <f>IF(ISNUMBER(F114),F114*E114,0)</f>
        <v>0</v>
      </c>
      <c r="I114" s="9">
        <f>IF(F114="N/A",0,3*E114)</f>
        <v>9</v>
      </c>
      <c r="J114" s="4" t="str">
        <f>IF(F114="","Sin evaluar (núcleo, cuenta como 0) – "&amp;INDEX(Rubricas!$F$4:$F$112,MATCH(A114,Rubricas!$A$4:$A$112,0)),IF(F114="N/A","⚠ Este criterio no admite N/A: calificar de 0 a 3.",IF(F114&lt;=1,INDEX(Rubricas!$O$4:$O$112,MATCH(A114,Rubricas!$A$4:$A$112,0)),IF(F114=2,"Por completar o validar – "&amp;INDEX(Rubricas!$F$4:$F$112,MATCH(A114,Rubricas!$A$4:$A$112,0)),""))))</f>
        <v>Sin evaluar (núcleo, cuenta como 0) – Unidad objetiva y clase de tamaño</v>
      </c>
      <c r="K114" s="23">
        <f>IF(ISNUMBER(F114),IF(F114&lt;3,(3-F114)*E114*VLOOKUP(B114,Parametros!$A$5:$D$15,4,0)*100+ROW()/100000,0),IF(F114="",3*E114*VLOOKUP(B114,Parametros!$A$5:$D$15,4,0)*100+ROW()/100000,0))</f>
        <v>162.00113999999999</v>
      </c>
    </row>
    <row r="115" spans="1:11" ht="54" customHeight="1">
      <c r="A115" s="9" t="s">
        <v>437</v>
      </c>
      <c r="B115" s="9" t="s">
        <v>63</v>
      </c>
      <c r="C115" s="4" t="s">
        <v>428</v>
      </c>
      <c r="D115" s="4" t="s">
        <v>1339</v>
      </c>
      <c r="E115" s="19">
        <f>INDEX(Rubricas!$M$4:$M$112,MATCH(A115,Rubricas!$A$4:$A$112,0))</f>
        <v>2</v>
      </c>
      <c r="F115" s="22"/>
      <c r="G115" s="17"/>
      <c r="H115" s="9">
        <f>IF(ISNUMBER(F115),F115*E115,0)</f>
        <v>0</v>
      </c>
      <c r="I115" s="9">
        <f>IF(F115="N/A",0,3*E115)</f>
        <v>6</v>
      </c>
      <c r="J115" s="4" t="str">
        <f>IF(F115="","Sin evaluar (núcleo, cuenta como 0) – "&amp;INDEX(Rubricas!$F$4:$F$112,MATCH(A115,Rubricas!$A$4:$A$112,0)),IF(F115="N/A","",IF(F115&lt;=1,INDEX(Rubricas!$O$4:$O$112,MATCH(A115,Rubricas!$A$4:$A$112,0)),IF(F115=2,"Por completar o validar – "&amp;INDEX(Rubricas!$F$4:$F$112,MATCH(A115,Rubricas!$A$4:$A$112,0)),""))))</f>
        <v>Sin evaluar (núcleo, cuenta como 0) – Tamaño del cambio en evolutivos</v>
      </c>
      <c r="K115" s="23">
        <f>IF(ISNUMBER(F115),IF(F115&lt;3,(3-F115)*E115*VLOOKUP(B115,Parametros!$A$5:$D$15,4,0)*100+ROW()/100000,0),IF(F115="",3*E115*VLOOKUP(B115,Parametros!$A$5:$D$15,4,0)*100+ROW()/100000,0))</f>
        <v>108.00115</v>
      </c>
    </row>
    <row r="116" spans="1:11" ht="54" customHeight="1">
      <c r="A116" s="9" t="s">
        <v>446</v>
      </c>
      <c r="B116" s="9" t="s">
        <v>63</v>
      </c>
      <c r="C116" s="4" t="s">
        <v>447</v>
      </c>
      <c r="D116" s="4" t="s">
        <v>1340</v>
      </c>
      <c r="E116" s="19">
        <f>INDEX(Rubricas!$M$4:$M$112,MATCH(A116,Rubricas!$A$4:$A$112,0))</f>
        <v>2</v>
      </c>
      <c r="F116" s="22"/>
      <c r="G116" s="17"/>
      <c r="H116" s="9">
        <f>IF(ISNUMBER(F116),F116*E116,0)</f>
        <v>0</v>
      </c>
      <c r="I116" s="9">
        <f>IF(F116="N/A",0,3*E116)</f>
        <v>6</v>
      </c>
      <c r="J116" s="4" t="str">
        <f>IF(F116="","Sin evaluar (núcleo, cuenta como 0) – "&amp;INDEX(Rubricas!$F$4:$F$112,MATCH(A116,Rubricas!$A$4:$A$112,0)),IF(F116="N/A","⚠ Este criterio no admite N/A: calificar de 0 a 3.",IF(F116&lt;=1,INDEX(Rubricas!$O$4:$O$112,MATCH(A116,Rubricas!$A$4:$A$112,0)),IF(F116=2,"Por completar o validar – "&amp;INDEX(Rubricas!$F$4:$F$112,MATCH(A116,Rubricas!$A$4:$A$112,0)),""))))</f>
        <v>Sin evaluar (núcleo, cuenta como 0) – RNF que se convierten en funcionalidad</v>
      </c>
      <c r="K116" s="23">
        <f>IF(ISNUMBER(F116),IF(F116&lt;3,(3-F116)*E116*VLOOKUP(B116,Parametros!$A$5:$D$15,4,0)*100+ROW()/100000,0),IF(F116="",3*E116*VLOOKUP(B116,Parametros!$A$5:$D$15,4,0)*100+ROW()/100000,0))</f>
        <v>108.00116</v>
      </c>
    </row>
    <row r="117" spans="1:11" ht="54" customHeight="1">
      <c r="A117" s="9" t="s">
        <v>455</v>
      </c>
      <c r="B117" s="9" t="s">
        <v>63</v>
      </c>
      <c r="C117" s="4" t="s">
        <v>392</v>
      </c>
      <c r="D117" s="4" t="s">
        <v>1341</v>
      </c>
      <c r="E117" s="19">
        <f>INDEX(Rubricas!$M$4:$M$112,MATCH(A117,Rubricas!$A$4:$A$112,0))</f>
        <v>2</v>
      </c>
      <c r="F117" s="22"/>
      <c r="G117" s="17"/>
      <c r="H117" s="9">
        <f>IF(ISNUMBER(F117),F117*E117,0)</f>
        <v>0</v>
      </c>
      <c r="I117" s="9">
        <f>IF(F117="N/A",0,3*E117)</f>
        <v>6</v>
      </c>
      <c r="J117" s="4" t="str">
        <f>IF(F117="","Sin evaluar (núcleo, cuenta como 0) – "&amp;INDEX(Rubricas!$F$4:$F$112,MATCH(A117,Rubricas!$A$4:$A$112,0)),IF(F117="N/A","⚠ Este criterio no admite N/A: calificar de 0 a 3.",IF(F117&lt;=1,INDEX(Rubricas!$O$4:$O$112,MATCH(A117,Rubricas!$A$4:$A$112,0)),IF(F117=2,"Por completar o validar – "&amp;INDEX(Rubricas!$F$4:$F$112,MATCH(A117,Rubricas!$A$4:$A$112,0)),""))))</f>
        <v>Sin evaluar (núcleo, cuenta como 0) – Funcionalidad de administración y soporte</v>
      </c>
      <c r="K117" s="23">
        <f>IF(ISNUMBER(F117),IF(F117&lt;3,(3-F117)*E117*VLOOKUP(B117,Parametros!$A$5:$D$15,4,0)*100+ROW()/100000,0),IF(F117="",3*E117*VLOOKUP(B117,Parametros!$A$5:$D$15,4,0)*100+ROW()/100000,0))</f>
        <v>108.00117</v>
      </c>
    </row>
    <row r="118" spans="1:11" ht="54" customHeight="1">
      <c r="A118" s="9" t="s">
        <v>463</v>
      </c>
      <c r="B118" s="9" t="s">
        <v>63</v>
      </c>
      <c r="C118" s="4" t="s">
        <v>419</v>
      </c>
      <c r="D118" s="4" t="s">
        <v>1342</v>
      </c>
      <c r="E118" s="19">
        <f>INDEX(Rubricas!$M$4:$M$112,MATCH(A118,Rubricas!$A$4:$A$112,0))</f>
        <v>1</v>
      </c>
      <c r="F118" s="22"/>
      <c r="G118" s="17"/>
      <c r="H118" s="9">
        <f>IF(ISNUMBER(F118),F118*E118,0)</f>
        <v>0</v>
      </c>
      <c r="I118" s="9">
        <f>IF(F118="N/A",0,3*E118)</f>
        <v>3</v>
      </c>
      <c r="J118" s="4" t="str">
        <f>IF(F118="","Sin evaluar (núcleo, cuenta como 0) – "&amp;INDEX(Rubricas!$F$4:$F$112,MATCH(A118,Rubricas!$A$4:$A$112,0)),IF(F118="N/A","⚠ Este criterio no admite N/A: calificar de 0 a 3.",IF(F118&lt;=1,INDEX(Rubricas!$O$4:$O$112,MATCH(A118,Rubricas!$A$4:$A$112,0)),IF(F118=2,"Por completar o validar – "&amp;INDEX(Rubricas!$F$4:$F$112,MATCH(A118,Rubricas!$A$4:$A$112,0)),""))))</f>
        <v>Sin evaluar (núcleo, cuenta como 0) – Reportes, consultas y mensajes</v>
      </c>
      <c r="K118" s="23">
        <f>IF(ISNUMBER(F118),IF(F118&lt;3,(3-F118)*E118*VLOOKUP(B118,Parametros!$A$5:$D$15,4,0)*100+ROW()/100000,0),IF(F118="",3*E118*VLOOKUP(B118,Parametros!$A$5:$D$15,4,0)*100+ROW()/100000,0))</f>
        <v>54.001179999999998</v>
      </c>
    </row>
    <row r="119" spans="1:11" ht="54" customHeight="1">
      <c r="A119" s="9" t="s">
        <v>471</v>
      </c>
      <c r="B119" s="9" t="s">
        <v>63</v>
      </c>
      <c r="C119" s="4" t="s">
        <v>428</v>
      </c>
      <c r="D119" s="4" t="s">
        <v>1343</v>
      </c>
      <c r="E119" s="19">
        <f>INDEX(Rubricas!$M$4:$M$112,MATCH(A119,Rubricas!$A$4:$A$112,0))</f>
        <v>2</v>
      </c>
      <c r="F119" s="22"/>
      <c r="G119" s="17"/>
      <c r="H119" s="9">
        <f>IF(ISNUMBER(F119),F119*E119,0)</f>
        <v>0</v>
      </c>
      <c r="I119" s="9">
        <f>IF(F119="N/A",0,3*E119)</f>
        <v>6</v>
      </c>
      <c r="J119" s="4" t="str">
        <f>IF(F119="","Sin evaluar (núcleo, cuenta como 0) – "&amp;INDEX(Rubricas!$F$4:$F$112,MATCH(A119,Rubricas!$A$4:$A$112,0)),IF(F119="N/A","⚠ Este criterio no admite N/A: calificar de 0 a 3.",IF(F119&lt;=1,INDEX(Rubricas!$O$4:$O$112,MATCH(A119,Rubricas!$A$4:$A$112,0)),IF(F119=2,"Por completar o validar – "&amp;INDEX(Rubricas!$F$4:$F$112,MATCH(A119,Rubricas!$A$4:$A$112,0)),""))))</f>
        <v>Sin evaluar (núcleo, cuenta como 0) – Trazabilidad requisito – medición</v>
      </c>
      <c r="K119" s="23">
        <f>IF(ISNUMBER(F119),IF(F119&lt;3,(3-F119)*E119*VLOOKUP(B119,Parametros!$A$5:$D$15,4,0)*100+ROW()/100000,0),IF(F119="",3*E119*VLOOKUP(B119,Parametros!$A$5:$D$15,4,0)*100+ROW()/100000,0))</f>
        <v>108.00118999999999</v>
      </c>
    </row>
    <row r="120" spans="1:11" ht="54" customHeight="1">
      <c r="A120" s="9" t="s">
        <v>479</v>
      </c>
      <c r="B120" s="9" t="s">
        <v>63</v>
      </c>
      <c r="C120" s="4" t="s">
        <v>428</v>
      </c>
      <c r="D120" s="4" t="s">
        <v>1344</v>
      </c>
      <c r="E120" s="19">
        <f>INDEX(Rubricas!$M$4:$M$112,MATCH(A120,Rubricas!$A$4:$A$112,0))</f>
        <v>1</v>
      </c>
      <c r="F120" s="22"/>
      <c r="G120" s="17"/>
      <c r="H120" s="9">
        <f>IF(ISNUMBER(F120),F120*E120,0)</f>
        <v>0</v>
      </c>
      <c r="I120" s="9">
        <f>IF(F120="N/A",0,3*E120)</f>
        <v>3</v>
      </c>
      <c r="J120" s="4" t="str">
        <f>IF(F120="","Sin evaluar (núcleo, cuenta como 0) – "&amp;INDEX(Rubricas!$F$4:$F$112,MATCH(A120,Rubricas!$A$4:$A$112,0)),IF(F120="N/A","⚠ Este criterio no admite N/A: calificar de 0 a 3.",IF(F120&lt;=1,INDEX(Rubricas!$O$4:$O$112,MATCH(A120,Rubricas!$A$4:$A$112,0)),IF(F120=2,"Por completar o validar – "&amp;INDEX(Rubricas!$F$4:$F$112,MATCH(A120,Rubricas!$A$4:$A$112,0)),""))))</f>
        <v>Sin evaluar (núcleo, cuenta como 0) – Revisión de la medición</v>
      </c>
      <c r="K120" s="23">
        <f>IF(ISNUMBER(F120),IF(F120&lt;3,(3-F120)*E120*VLOOKUP(B120,Parametros!$A$5:$D$15,4,0)*100+ROW()/100000,0),IF(F120="",3*E120*VLOOKUP(B120,Parametros!$A$5:$D$15,4,0)*100+ROW()/100000,0))</f>
        <v>54.001199999999997</v>
      </c>
    </row>
    <row r="121" spans="1:11">
      <c r="A121" s="28" t="str">
        <f>"D4 · Complejidad — Núcleo · peso "&amp;TEXT(Parametros!$D$8,"0%")&amp;" · 12 criterios"</f>
        <v>D4 · Complejidad — Núcleo · peso 15% · 12 criterios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spans="1:11" ht="54" customHeight="1">
      <c r="A122" s="9" t="s">
        <v>487</v>
      </c>
      <c r="B122" s="9" t="s">
        <v>70</v>
      </c>
      <c r="C122" s="4" t="s">
        <v>488</v>
      </c>
      <c r="D122" s="4" t="s">
        <v>1345</v>
      </c>
      <c r="E122" s="19">
        <f>INDEX(Rubricas!$M$4:$M$112,MATCH(A122,Rubricas!$A$4:$A$112,0))</f>
        <v>3</v>
      </c>
      <c r="F122" s="22"/>
      <c r="G122" s="17"/>
      <c r="H122" s="9">
        <f>IF(ISNUMBER(F122),F122*E122,0)</f>
        <v>0</v>
      </c>
      <c r="I122" s="9">
        <f>IF(F122="N/A",0,3*E122)</f>
        <v>9</v>
      </c>
      <c r="J122" s="4" t="str">
        <f>IF(F122="","Sin evaluar (núcleo, cuenta como 0) – "&amp;INDEX(Rubricas!$F$4:$F$112,MATCH(A122,Rubricas!$A$4:$A$112,0)),IF(F122="N/A","⚠ Este criterio no admite N/A: calificar de 0 a 3.",IF(F122&lt;=1,INDEX(Rubricas!$O$4:$O$112,MATCH(A122,Rubricas!$A$4:$A$112,0)),IF(F122=2,"Por completar o validar – "&amp;INDEX(Rubricas!$F$4:$F$112,MATCH(A122,Rubricas!$A$4:$A$112,0)),""))))</f>
        <v>Sin evaluar (núcleo, cuenta como 0) – Inventario de reglas de negocio</v>
      </c>
      <c r="K122" s="23">
        <f>IF(ISNUMBER(F122),IF(F122&lt;3,(3-F122)*E122*VLOOKUP(B122,Parametros!$A$5:$D$15,4,0)*100+ROW()/100000,0),IF(F122="",3*E122*VLOOKUP(B122,Parametros!$A$5:$D$15,4,0)*100+ROW()/100000,0))</f>
        <v>135.00121999999999</v>
      </c>
    </row>
    <row r="123" spans="1:11" ht="54" customHeight="1">
      <c r="A123" s="9" t="s">
        <v>496</v>
      </c>
      <c r="B123" s="9" t="s">
        <v>70</v>
      </c>
      <c r="C123" s="4" t="s">
        <v>488</v>
      </c>
      <c r="D123" s="4" t="s">
        <v>1346</v>
      </c>
      <c r="E123" s="19">
        <f>INDEX(Rubricas!$M$4:$M$112,MATCH(A123,Rubricas!$A$4:$A$112,0))</f>
        <v>3</v>
      </c>
      <c r="F123" s="22"/>
      <c r="G123" s="17"/>
      <c r="H123" s="9">
        <f>IF(ISNUMBER(F123),F123*E123,0)</f>
        <v>0</v>
      </c>
      <c r="I123" s="9">
        <f>IF(F123="N/A",0,3*E123)</f>
        <v>9</v>
      </c>
      <c r="J123" s="4" t="str">
        <f>IF(F123="","Sin evaluar (núcleo, cuenta como 0) – "&amp;INDEX(Rubricas!$F$4:$F$112,MATCH(A123,Rubricas!$A$4:$A$112,0)),IF(F123="N/A","⚠ Este criterio no admite N/A: calificar de 0 a 3.",IF(F123&lt;=1,INDEX(Rubricas!$O$4:$O$112,MATCH(A123,Rubricas!$A$4:$A$112,0)),IF(F123=2,"Por completar o validar – "&amp;INDEX(Rubricas!$F$4:$F$112,MATCH(A123,Rubricas!$A$4:$A$112,0)),""))))</f>
        <v>Sin evaluar (núcleo, cuenta como 0) – Caracterización de reglas</v>
      </c>
      <c r="K123" s="23">
        <f>IF(ISNUMBER(F123),IF(F123&lt;3,(3-F123)*E123*VLOOKUP(B123,Parametros!$A$5:$D$15,4,0)*100+ROW()/100000,0),IF(F123="",3*E123*VLOOKUP(B123,Parametros!$A$5:$D$15,4,0)*100+ROW()/100000,0))</f>
        <v>135.00122999999999</v>
      </c>
    </row>
    <row r="124" spans="1:11" ht="54" customHeight="1">
      <c r="A124" s="9" t="s">
        <v>505</v>
      </c>
      <c r="B124" s="9" t="s">
        <v>70</v>
      </c>
      <c r="C124" s="4" t="s">
        <v>506</v>
      </c>
      <c r="D124" s="4" t="s">
        <v>1347</v>
      </c>
      <c r="E124" s="19">
        <f>INDEX(Rubricas!$M$4:$M$112,MATCH(A124,Rubricas!$A$4:$A$112,0))</f>
        <v>2</v>
      </c>
      <c r="F124" s="22"/>
      <c r="G124" s="17"/>
      <c r="H124" s="9">
        <f>IF(ISNUMBER(F124),F124*E124,0)</f>
        <v>0</v>
      </c>
      <c r="I124" s="9">
        <f>IF(F124="N/A",0,3*E124)</f>
        <v>6</v>
      </c>
      <c r="J124" s="4" t="str">
        <f>IF(F124="","Sin evaluar (núcleo, cuenta como 0) – "&amp;INDEX(Rubricas!$F$4:$F$112,MATCH(A124,Rubricas!$A$4:$A$112,0)),IF(F124="N/A","⚠ Este criterio no admite N/A: calificar de 0 a 3.",IF(F124&lt;=1,INDEX(Rubricas!$O$4:$O$112,MATCH(A124,Rubricas!$A$4:$A$112,0)),IF(F124=2,"Por completar o validar – "&amp;INDEX(Rubricas!$F$4:$F$112,MATCH(A124,Rubricas!$A$4:$A$112,0)),""))))</f>
        <v>Sin evaluar (núcleo, cuenta como 0) – Manipulación de datos y algoritmos</v>
      </c>
      <c r="K124" s="23">
        <f>IF(ISNUMBER(F124),IF(F124&lt;3,(3-F124)*E124*VLOOKUP(B124,Parametros!$A$5:$D$15,4,0)*100+ROW()/100000,0),IF(F124="",3*E124*VLOOKUP(B124,Parametros!$A$5:$D$15,4,0)*100+ROW()/100000,0))</f>
        <v>90.001239999999981</v>
      </c>
    </row>
    <row r="125" spans="1:11" ht="54" customHeight="1">
      <c r="A125" s="9" t="s">
        <v>513</v>
      </c>
      <c r="B125" s="9" t="s">
        <v>70</v>
      </c>
      <c r="C125" s="4" t="s">
        <v>506</v>
      </c>
      <c r="D125" s="4" t="s">
        <v>1348</v>
      </c>
      <c r="E125" s="19">
        <f>INDEX(Rubricas!$M$4:$M$112,MATCH(A125,Rubricas!$A$4:$A$112,0))</f>
        <v>2</v>
      </c>
      <c r="F125" s="22"/>
      <c r="G125" s="17"/>
      <c r="H125" s="9">
        <f>IF(ISNUMBER(F125),F125*E125,0)</f>
        <v>0</v>
      </c>
      <c r="I125" s="9">
        <f>IF(F125="N/A",0,3*E125)</f>
        <v>6</v>
      </c>
      <c r="J125" s="4" t="str">
        <f>IF(F125="","Sin evaluar (núcleo, cuenta como 0) – "&amp;INDEX(Rubricas!$F$4:$F$112,MATCH(A125,Rubricas!$A$4:$A$112,0)),IF(F125="N/A","⚠ Este criterio no admite N/A: calificar de 0 a 3.",IF(F125&lt;=1,INDEX(Rubricas!$O$4:$O$112,MATCH(A125,Rubricas!$A$4:$A$112,0)),IF(F125=2,"Por completar o validar – "&amp;INDEX(Rubricas!$F$4:$F$112,MATCH(A125,Rubricas!$A$4:$A$112,0)),""))))</f>
        <v>Sin evaluar (núcleo, cuenta como 0) – Tipo de procesamiento</v>
      </c>
      <c r="K125" s="23">
        <f>IF(ISNUMBER(F125),IF(F125&lt;3,(3-F125)*E125*VLOOKUP(B125,Parametros!$A$5:$D$15,4,0)*100+ROW()/100000,0),IF(F125="",3*E125*VLOOKUP(B125,Parametros!$A$5:$D$15,4,0)*100+ROW()/100000,0))</f>
        <v>90.001249999999985</v>
      </c>
    </row>
    <row r="126" spans="1:11" ht="54" customHeight="1">
      <c r="A126" s="9" t="s">
        <v>521</v>
      </c>
      <c r="B126" s="9" t="s">
        <v>70</v>
      </c>
      <c r="C126" s="4" t="s">
        <v>522</v>
      </c>
      <c r="D126" s="4" t="s">
        <v>1349</v>
      </c>
      <c r="E126" s="19">
        <f>INDEX(Rubricas!$M$4:$M$112,MATCH(A126,Rubricas!$A$4:$A$112,0))</f>
        <v>3</v>
      </c>
      <c r="F126" s="22"/>
      <c r="G126" s="17"/>
      <c r="H126" s="9">
        <f>IF(ISNUMBER(F126),F126*E126,0)</f>
        <v>0</v>
      </c>
      <c r="I126" s="9">
        <f>IF(F126="N/A",0,3*E126)</f>
        <v>9</v>
      </c>
      <c r="J126" s="4" t="str">
        <f>IF(F126="","Sin evaluar (núcleo, cuenta como 0) – "&amp;INDEX(Rubricas!$F$4:$F$112,MATCH(A126,Rubricas!$A$4:$A$112,0)),IF(F126="N/A","⚠ Este criterio no admite N/A: calificar de 0 a 3.",IF(F126&lt;=1,INDEX(Rubricas!$O$4:$O$112,MATCH(A126,Rubricas!$A$4:$A$112,0)),IF(F126=2,"Por completar o validar – "&amp;INDEX(Rubricas!$F$4:$F$112,MATCH(A126,Rubricas!$A$4:$A$112,0)),""))))</f>
        <v>Sin evaluar (núcleo, cuenta como 0) – Arquitectura objetivo y novedad</v>
      </c>
      <c r="K126" s="23">
        <f>IF(ISNUMBER(F126),IF(F126&lt;3,(3-F126)*E126*VLOOKUP(B126,Parametros!$A$5:$D$15,4,0)*100+ROW()/100000,0),IF(F126="",3*E126*VLOOKUP(B126,Parametros!$A$5:$D$15,4,0)*100+ROW()/100000,0))</f>
        <v>135.00126</v>
      </c>
    </row>
    <row r="127" spans="1:11" ht="54" customHeight="1">
      <c r="A127" s="9" t="s">
        <v>530</v>
      </c>
      <c r="B127" s="9" t="s">
        <v>70</v>
      </c>
      <c r="C127" s="4" t="s">
        <v>531</v>
      </c>
      <c r="D127" s="4" t="s">
        <v>1350</v>
      </c>
      <c r="E127" s="19">
        <f>INDEX(Rubricas!$M$4:$M$112,MATCH(A127,Rubricas!$A$4:$A$112,0))</f>
        <v>3</v>
      </c>
      <c r="F127" s="22"/>
      <c r="G127" s="17"/>
      <c r="H127" s="9">
        <f>IF(ISNUMBER(F127),F127*E127,0)</f>
        <v>0</v>
      </c>
      <c r="I127" s="9">
        <f>IF(F127="N/A",0,3*E127)</f>
        <v>9</v>
      </c>
      <c r="J127" s="4" t="str">
        <f>IF(F127="","Sin evaluar (núcleo, cuenta como 0) – "&amp;INDEX(Rubricas!$F$4:$F$112,MATCH(A127,Rubricas!$A$4:$A$112,0)),IF(F127="N/A","⚠ Este criterio no admite N/A: calificar de 0 a 3.",IF(F127&lt;=1,INDEX(Rubricas!$O$4:$O$112,MATCH(A127,Rubricas!$A$4:$A$112,0)),IF(F127=2,"Por completar o validar – "&amp;INDEX(Rubricas!$F$4:$F$112,MATCH(A127,Rubricas!$A$4:$A$112,0)),""))))</f>
        <v>Sin evaluar (núcleo, cuenta como 0) – Requisitos de seguridad clasificados</v>
      </c>
      <c r="K127" s="23">
        <f>IF(ISNUMBER(F127),IF(F127&lt;3,(3-F127)*E127*VLOOKUP(B127,Parametros!$A$5:$D$15,4,0)*100+ROW()/100000,0),IF(F127="",3*E127*VLOOKUP(B127,Parametros!$A$5:$D$15,4,0)*100+ROW()/100000,0))</f>
        <v>135.00127000000001</v>
      </c>
    </row>
    <row r="128" spans="1:11" ht="54" customHeight="1">
      <c r="A128" s="9" t="s">
        <v>540</v>
      </c>
      <c r="B128" s="9" t="s">
        <v>70</v>
      </c>
      <c r="C128" s="4" t="s">
        <v>541</v>
      </c>
      <c r="D128" s="4" t="s">
        <v>1351</v>
      </c>
      <c r="E128" s="19">
        <f>INDEX(Rubricas!$M$4:$M$112,MATCH(A128,Rubricas!$A$4:$A$112,0))</f>
        <v>2</v>
      </c>
      <c r="F128" s="22"/>
      <c r="G128" s="17"/>
      <c r="H128" s="9">
        <f>IF(ISNUMBER(F128),F128*E128,0)</f>
        <v>0</v>
      </c>
      <c r="I128" s="9">
        <f>IF(F128="N/A",0,3*E128)</f>
        <v>6</v>
      </c>
      <c r="J128" s="4" t="str">
        <f>IF(F128="","Sin evaluar (núcleo, cuenta como 0) – "&amp;INDEX(Rubricas!$F$4:$F$112,MATCH(A128,Rubricas!$A$4:$A$112,0)),IF(F128="N/A","⚠ Este criterio no admite N/A: calificar de 0 a 3.",IF(F128&lt;=1,INDEX(Rubricas!$O$4:$O$112,MATCH(A128,Rubricas!$A$4:$A$112,0)),IF(F128=2,"Por completar o validar – "&amp;INDEX(Rubricas!$F$4:$F$112,MATCH(A128,Rubricas!$A$4:$A$112,0)),""))))</f>
        <v>Sin evaluar (núcleo, cuenta como 0) – Desempeño y volumen cuantificados</v>
      </c>
      <c r="K128" s="23">
        <f>IF(ISNUMBER(F128),IF(F128&lt;3,(3-F128)*E128*VLOOKUP(B128,Parametros!$A$5:$D$15,4,0)*100+ROW()/100000,0),IF(F128="",3*E128*VLOOKUP(B128,Parametros!$A$5:$D$15,4,0)*100+ROW()/100000,0))</f>
        <v>90.00127999999998</v>
      </c>
    </row>
    <row r="129" spans="1:11" ht="54" customHeight="1">
      <c r="A129" s="9" t="s">
        <v>549</v>
      </c>
      <c r="B129" s="9" t="s">
        <v>70</v>
      </c>
      <c r="C129" s="4" t="s">
        <v>541</v>
      </c>
      <c r="D129" s="4" t="s">
        <v>1352</v>
      </c>
      <c r="E129" s="19">
        <f>INDEX(Rubricas!$M$4:$M$112,MATCH(A129,Rubricas!$A$4:$A$112,0))</f>
        <v>1</v>
      </c>
      <c r="F129" s="22"/>
      <c r="G129" s="17"/>
      <c r="H129" s="9">
        <f>IF(ISNUMBER(F129),F129*E129,0)</f>
        <v>0</v>
      </c>
      <c r="I129" s="9">
        <f>IF(F129="N/A",0,3*E129)</f>
        <v>3</v>
      </c>
      <c r="J129" s="4" t="str">
        <f>IF(F129="","Sin evaluar (núcleo, cuenta como 0) – "&amp;INDEX(Rubricas!$F$4:$F$112,MATCH(A129,Rubricas!$A$4:$A$112,0)),IF(F129="N/A","⚠ Este criterio no admite N/A: calificar de 0 a 3.",IF(F129&lt;=1,INDEX(Rubricas!$O$4:$O$112,MATCH(A129,Rubricas!$A$4:$A$112,0)),IF(F129=2,"Por completar o validar – "&amp;INDEX(Rubricas!$F$4:$F$112,MATCH(A129,Rubricas!$A$4:$A$112,0)),""))))</f>
        <v>Sin evaluar (núcleo, cuenta como 0) – Disponibilidad, escalabilidad y continuidad</v>
      </c>
      <c r="K129" s="23">
        <f>IF(ISNUMBER(F129),IF(F129&lt;3,(3-F129)*E129*VLOOKUP(B129,Parametros!$A$5:$D$15,4,0)*100+ROW()/100000,0),IF(F129="",3*E129*VLOOKUP(B129,Parametros!$A$5:$D$15,4,0)*100+ROW()/100000,0))</f>
        <v>45.00128999999999</v>
      </c>
    </row>
    <row r="130" spans="1:11" ht="54" customHeight="1">
      <c r="A130" s="9" t="s">
        <v>558</v>
      </c>
      <c r="B130" s="9" t="s">
        <v>70</v>
      </c>
      <c r="C130" s="4" t="s">
        <v>559</v>
      </c>
      <c r="D130" s="4" t="s">
        <v>1353</v>
      </c>
      <c r="E130" s="19">
        <f>INDEX(Rubricas!$M$4:$M$112,MATCH(A130,Rubricas!$A$4:$A$112,0))</f>
        <v>2</v>
      </c>
      <c r="F130" s="22"/>
      <c r="G130" s="17"/>
      <c r="H130" s="9">
        <f>IF(ISNUMBER(F130),F130*E130,0)</f>
        <v>0</v>
      </c>
      <c r="I130" s="9">
        <f>IF(F130="N/A",0,3*E130)</f>
        <v>6</v>
      </c>
      <c r="J130" s="4" t="str">
        <f>IF(F130="","Sin evaluar (núcleo, cuenta como 0) – "&amp;INDEX(Rubricas!$F$4:$F$112,MATCH(A130,Rubricas!$A$4:$A$112,0)),IF(F130="N/A","⚠ Este criterio no admite N/A: calificar de 0 a 3.",IF(F130&lt;=1,INDEX(Rubricas!$O$4:$O$112,MATCH(A130,Rubricas!$A$4:$A$112,0)),IF(F130=2,"Por completar o validar – "&amp;INDEX(Rubricas!$F$4:$F$112,MATCH(A130,Rubricas!$A$4:$A$112,0)),""))))</f>
        <v>Sin evaluar (núcleo, cuenta como 0) – Dependencias identificadas y calificadas</v>
      </c>
      <c r="K130" s="23">
        <f>IF(ISNUMBER(F130),IF(F130&lt;3,(3-F130)*E130*VLOOKUP(B130,Parametros!$A$5:$D$15,4,0)*100+ROW()/100000,0),IF(F130="",3*E130*VLOOKUP(B130,Parametros!$A$5:$D$15,4,0)*100+ROW()/100000,0))</f>
        <v>90.001299999999986</v>
      </c>
    </row>
    <row r="131" spans="1:11" ht="54" customHeight="1">
      <c r="A131" s="9" t="s">
        <v>567</v>
      </c>
      <c r="B131" s="9" t="s">
        <v>70</v>
      </c>
      <c r="C131" s="4" t="s">
        <v>568</v>
      </c>
      <c r="D131" s="4" t="s">
        <v>1354</v>
      </c>
      <c r="E131" s="19">
        <f>INDEX(Rubricas!$M$4:$M$112,MATCH(A131,Rubricas!$A$4:$A$112,0))</f>
        <v>2</v>
      </c>
      <c r="F131" s="22"/>
      <c r="G131" s="17"/>
      <c r="H131" s="9">
        <f>IF(ISNUMBER(F131),F131*E131,0)</f>
        <v>0</v>
      </c>
      <c r="I131" s="9">
        <f>IF(F131="N/A",0,3*E131)</f>
        <v>6</v>
      </c>
      <c r="J131" s="4" t="str">
        <f>IF(F131="","Sin evaluar (núcleo, cuenta como 0) – "&amp;INDEX(Rubricas!$F$4:$F$112,MATCH(A131,Rubricas!$A$4:$A$112,0)),IF(F131="N/A","⚠ Este criterio no admite N/A: calificar de 0 a 3.",IF(F131&lt;=1,INDEX(Rubricas!$O$4:$O$112,MATCH(A131,Rubricas!$A$4:$A$112,0)),IF(F131=2,"Por completar o validar – "&amp;INDEX(Rubricas!$F$4:$F$112,MATCH(A131,Rubricas!$A$4:$A$112,0)),""))))</f>
        <v>Sin evaluar (núcleo, cuenta como 0) – Requisitos regulatorios y de cumplimiento</v>
      </c>
      <c r="K131" s="23">
        <f>IF(ISNUMBER(F131),IF(F131&lt;3,(3-F131)*E131*VLOOKUP(B131,Parametros!$A$5:$D$15,4,0)*100+ROW()/100000,0),IF(F131="",3*E131*VLOOKUP(B131,Parametros!$A$5:$D$15,4,0)*100+ROW()/100000,0))</f>
        <v>90.001309999999989</v>
      </c>
    </row>
    <row r="132" spans="1:11" ht="54" customHeight="1">
      <c r="A132" s="9" t="s">
        <v>575</v>
      </c>
      <c r="B132" s="9" t="s">
        <v>70</v>
      </c>
      <c r="C132" s="4" t="s">
        <v>541</v>
      </c>
      <c r="D132" s="4" t="s">
        <v>1355</v>
      </c>
      <c r="E132" s="19">
        <f>INDEX(Rubricas!$M$4:$M$112,MATCH(A132,Rubricas!$A$4:$A$112,0))</f>
        <v>1</v>
      </c>
      <c r="F132" s="22"/>
      <c r="G132" s="17"/>
      <c r="H132" s="9">
        <f>IF(ISNUMBER(F132),F132*E132,0)</f>
        <v>0</v>
      </c>
      <c r="I132" s="9">
        <f>IF(F132="N/A",0,3*E132)</f>
        <v>3</v>
      </c>
      <c r="J132" s="4" t="str">
        <f>IF(F132="","Sin evaluar (núcleo, cuenta como 0) – "&amp;INDEX(Rubricas!$F$4:$F$112,MATCH(A132,Rubricas!$A$4:$A$112,0)),IF(F132="N/A","⚠ Este criterio no admite N/A: calificar de 0 a 3.",IF(F132&lt;=1,INDEX(Rubricas!$O$4:$O$112,MATCH(A132,Rubricas!$A$4:$A$112,0)),IF(F132=2,"Por completar o validar – "&amp;INDEX(Rubricas!$F$4:$F$112,MATCH(A132,Rubricas!$A$4:$A$112,0)),""))))</f>
        <v>Sin evaluar (núcleo, cuenta como 0) – Variabilidad de la solución</v>
      </c>
      <c r="K132" s="23">
        <f>IF(ISNUMBER(F132),IF(F132&lt;3,(3-F132)*E132*VLOOKUP(B132,Parametros!$A$5:$D$15,4,0)*100+ROW()/100000,0),IF(F132="",3*E132*VLOOKUP(B132,Parametros!$A$5:$D$15,4,0)*100+ROW()/100000,0))</f>
        <v>45.001319999999993</v>
      </c>
    </row>
    <row r="133" spans="1:11" ht="54" customHeight="1">
      <c r="A133" s="9" t="s">
        <v>584</v>
      </c>
      <c r="B133" s="9" t="s">
        <v>70</v>
      </c>
      <c r="C133" s="4" t="s">
        <v>585</v>
      </c>
      <c r="D133" s="4" t="s">
        <v>1356</v>
      </c>
      <c r="E133" s="19">
        <f>INDEX(Rubricas!$M$4:$M$112,MATCH(A133,Rubricas!$A$4:$A$112,0))</f>
        <v>2</v>
      </c>
      <c r="F133" s="22"/>
      <c r="G133" s="17"/>
      <c r="H133" s="9">
        <f>IF(ISNUMBER(F133),F133*E133,0)</f>
        <v>0</v>
      </c>
      <c r="I133" s="9">
        <f>IF(F133="N/A",0,3*E133)</f>
        <v>6</v>
      </c>
      <c r="J133" s="4" t="str">
        <f>IF(F133="","Sin evaluar (núcleo, cuenta como 0) – "&amp;INDEX(Rubricas!$F$4:$F$112,MATCH(A133,Rubricas!$A$4:$A$112,0)),IF(F133="N/A","⚠ Este criterio no admite N/A: calificar de 0 a 3.",IF(F133&lt;=1,INDEX(Rubricas!$O$4:$O$112,MATCH(A133,Rubricas!$A$4:$A$112,0)),IF(F133=2,"Por completar o validar – "&amp;INDEX(Rubricas!$F$4:$F$112,MATCH(A133,Rubricas!$A$4:$A$112,0)),""))))</f>
        <v>Sin evaluar (núcleo, cuenta como 0) – Calificación de complejidad por factores</v>
      </c>
      <c r="K133" s="23">
        <f>IF(ISNUMBER(F133),IF(F133&lt;3,(3-F133)*E133*VLOOKUP(B133,Parametros!$A$5:$D$15,4,0)*100+ROW()/100000,0),IF(F133="",3*E133*VLOOKUP(B133,Parametros!$A$5:$D$15,4,0)*100+ROW()/100000,0))</f>
        <v>90.001329999999982</v>
      </c>
    </row>
    <row r="134" spans="1:11">
      <c r="A134" s="28" t="str">
        <f>"D5 · Integración / interdependencia — Núcleo · peso "&amp;TEXT(Parametros!$D$9,"0%")&amp;" · 13 criterios"</f>
        <v>D5 · Integración / interdependencia — Núcleo · peso 14% · 13 criterios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spans="1:11" ht="54" customHeight="1">
      <c r="A135" s="9" t="s">
        <v>594</v>
      </c>
      <c r="B135" s="9" t="s">
        <v>77</v>
      </c>
      <c r="C135" s="4" t="s">
        <v>595</v>
      </c>
      <c r="D135" s="4" t="s">
        <v>1357</v>
      </c>
      <c r="E135" s="19">
        <f>INDEX(Rubricas!$M$4:$M$112,MATCH(A135,Rubricas!$A$4:$A$112,0))</f>
        <v>3</v>
      </c>
      <c r="F135" s="22"/>
      <c r="G135" s="17"/>
      <c r="H135" s="9">
        <f>IF(ISNUMBER(F135),F135*E135,0)</f>
        <v>0</v>
      </c>
      <c r="I135" s="9">
        <f>IF(F135="N/A",0,3*E135)</f>
        <v>9</v>
      </c>
      <c r="J135" s="4" t="str">
        <f>IF(F135="","Sin evaluar (núcleo, cuenta como 0) – "&amp;INDEX(Rubricas!$F$4:$F$112,MATCH(A135,Rubricas!$A$4:$A$112,0)),IF(F135="N/A","",IF(F135&lt;=1,INDEX(Rubricas!$O$4:$O$112,MATCH(A135,Rubricas!$A$4:$A$112,0)),IF(F135=2,"Por completar o validar – "&amp;INDEX(Rubricas!$F$4:$F$112,MATCH(A135,Rubricas!$A$4:$A$112,0)),""))))</f>
        <v>Sin evaluar (núcleo, cuenta como 0) – Inventario de interfaces</v>
      </c>
      <c r="K135" s="23">
        <f>IF(ISNUMBER(F135),IF(F135&lt;3,(3-F135)*E135*VLOOKUP(B135,Parametros!$A$5:$D$15,4,0)*100+ROW()/100000,0),IF(F135="",3*E135*VLOOKUP(B135,Parametros!$A$5:$D$15,4,0)*100+ROW()/100000,0))</f>
        <v>126.00135000000003</v>
      </c>
    </row>
    <row r="136" spans="1:11" ht="54" customHeight="1">
      <c r="A136" s="9" t="s">
        <v>602</v>
      </c>
      <c r="B136" s="9" t="s">
        <v>77</v>
      </c>
      <c r="C136" s="4" t="s">
        <v>595</v>
      </c>
      <c r="D136" s="4" t="s">
        <v>1358</v>
      </c>
      <c r="E136" s="19">
        <f>INDEX(Rubricas!$M$4:$M$112,MATCH(A136,Rubricas!$A$4:$A$112,0))</f>
        <v>3</v>
      </c>
      <c r="F136" s="22"/>
      <c r="G136" s="17"/>
      <c r="H136" s="9">
        <f>IF(ISNUMBER(F136),F136*E136,0)</f>
        <v>0</v>
      </c>
      <c r="I136" s="9">
        <f>IF(F136="N/A",0,3*E136)</f>
        <v>9</v>
      </c>
      <c r="J136" s="4" t="str">
        <f>IF(F136="","Sin evaluar (núcleo, cuenta como 0) – "&amp;INDEX(Rubricas!$F$4:$F$112,MATCH(A136,Rubricas!$A$4:$A$112,0)),IF(F136="N/A","",IF(F136&lt;=1,INDEX(Rubricas!$O$4:$O$112,MATCH(A136,Rubricas!$A$4:$A$112,0)),IF(F136=2,"Por completar o validar – "&amp;INDEX(Rubricas!$F$4:$F$112,MATCH(A136,Rubricas!$A$4:$A$112,0)),""))))</f>
        <v>Sin evaluar (núcleo, cuenta como 0) – Intercambios mapeados a datos y procesos</v>
      </c>
      <c r="K136" s="23">
        <f>IF(ISNUMBER(F136),IF(F136&lt;3,(3-F136)*E136*VLOOKUP(B136,Parametros!$A$5:$D$15,4,0)*100+ROW()/100000,0),IF(F136="",3*E136*VLOOKUP(B136,Parametros!$A$5:$D$15,4,0)*100+ROW()/100000,0))</f>
        <v>126.00136000000003</v>
      </c>
    </row>
    <row r="137" spans="1:11" ht="54" customHeight="1">
      <c r="A137" s="9" t="s">
        <v>611</v>
      </c>
      <c r="B137" s="9" t="s">
        <v>77</v>
      </c>
      <c r="C137" s="4" t="s">
        <v>612</v>
      </c>
      <c r="D137" s="4" t="s">
        <v>1359</v>
      </c>
      <c r="E137" s="19">
        <f>INDEX(Rubricas!$M$4:$M$112,MATCH(A137,Rubricas!$A$4:$A$112,0))</f>
        <v>3</v>
      </c>
      <c r="F137" s="22"/>
      <c r="G137" s="17"/>
      <c r="H137" s="9">
        <f>IF(ISNUMBER(F137),F137*E137,0)</f>
        <v>0</v>
      </c>
      <c r="I137" s="9">
        <f>IF(F137="N/A",0,3*E137)</f>
        <v>9</v>
      </c>
      <c r="J137" s="4" t="str">
        <f>IF(F137="","Sin evaluar (núcleo, cuenta como 0) – "&amp;INDEX(Rubricas!$F$4:$F$112,MATCH(A137,Rubricas!$A$4:$A$112,0)),IF(F137="N/A","",IF(F137&lt;=1,INDEX(Rubricas!$O$4:$O$112,MATCH(A137,Rubricas!$A$4:$A$112,0)),IF(F137=2,"Por completar o validar – "&amp;INDEX(Rubricas!$F$4:$F$112,MATCH(A137,Rubricas!$A$4:$A$112,0)),""))))</f>
        <v>Sin evaluar (núcleo, cuenta como 0) – Contratos de interfaz</v>
      </c>
      <c r="K137" s="23">
        <f>IF(ISNUMBER(F137),IF(F137&lt;3,(3-F137)*E137*VLOOKUP(B137,Parametros!$A$5:$D$15,4,0)*100+ROW()/100000,0),IF(F137="",3*E137*VLOOKUP(B137,Parametros!$A$5:$D$15,4,0)*100+ROW()/100000,0))</f>
        <v>126.00137000000002</v>
      </c>
    </row>
    <row r="138" spans="1:11" ht="54" customHeight="1">
      <c r="A138" s="9" t="s">
        <v>621</v>
      </c>
      <c r="B138" s="9" t="s">
        <v>77</v>
      </c>
      <c r="C138" s="4" t="s">
        <v>612</v>
      </c>
      <c r="D138" s="4" t="s">
        <v>1360</v>
      </c>
      <c r="E138" s="19">
        <f>INDEX(Rubricas!$M$4:$M$112,MATCH(A138,Rubricas!$A$4:$A$112,0))</f>
        <v>2</v>
      </c>
      <c r="F138" s="22"/>
      <c r="G138" s="17"/>
      <c r="H138" s="9">
        <f>IF(ISNUMBER(F138),F138*E138,0)</f>
        <v>0</v>
      </c>
      <c r="I138" s="9">
        <f>IF(F138="N/A",0,3*E138)</f>
        <v>6</v>
      </c>
      <c r="J138" s="4" t="str">
        <f>IF(F138="","Sin evaluar (núcleo, cuenta como 0) – "&amp;INDEX(Rubricas!$F$4:$F$112,MATCH(A138,Rubricas!$A$4:$A$112,0)),IF(F138="N/A","",IF(F138&lt;=1,INDEX(Rubricas!$O$4:$O$112,MATCH(A138,Rubricas!$A$4:$A$112,0)),IF(F138=2,"Por completar o validar – "&amp;INDEX(Rubricas!$F$4:$F$112,MATCH(A138,Rubricas!$A$4:$A$112,0)),""))))</f>
        <v>Sin evaluar (núcleo, cuenta como 0) – Protocolos y tecnologías</v>
      </c>
      <c r="K138" s="23">
        <f>IF(ISNUMBER(F138),IF(F138&lt;3,(3-F138)*E138*VLOOKUP(B138,Parametros!$A$5:$D$15,4,0)*100+ROW()/100000,0),IF(F138="",3*E138*VLOOKUP(B138,Parametros!$A$5:$D$15,4,0)*100+ROW()/100000,0))</f>
        <v>84.001380000000012</v>
      </c>
    </row>
    <row r="139" spans="1:11" ht="54" customHeight="1">
      <c r="A139" s="9" t="s">
        <v>629</v>
      </c>
      <c r="B139" s="9" t="s">
        <v>77</v>
      </c>
      <c r="C139" s="4" t="s">
        <v>630</v>
      </c>
      <c r="D139" s="4" t="s">
        <v>1361</v>
      </c>
      <c r="E139" s="19">
        <f>INDEX(Rubricas!$M$4:$M$112,MATCH(A139,Rubricas!$A$4:$A$112,0))</f>
        <v>2</v>
      </c>
      <c r="F139" s="22"/>
      <c r="G139" s="17"/>
      <c r="H139" s="9">
        <f>IF(ISNUMBER(F139),F139*E139,0)</f>
        <v>0</v>
      </c>
      <c r="I139" s="9">
        <f>IF(F139="N/A",0,3*E139)</f>
        <v>6</v>
      </c>
      <c r="J139" s="4" t="str">
        <f>IF(F139="","Sin evaluar (núcleo, cuenta como 0) – "&amp;INDEX(Rubricas!$F$4:$F$112,MATCH(A139,Rubricas!$A$4:$A$112,0)),IF(F139="N/A","",IF(F139&lt;=1,INDEX(Rubricas!$O$4:$O$112,MATCH(A139,Rubricas!$A$4:$A$112,0)),IF(F139=2,"Por completar o validar – "&amp;INDEX(Rubricas!$F$4:$F$112,MATCH(A139,Rubricas!$A$4:$A$112,0)),""))))</f>
        <v>Sin evaluar (núcleo, cuenta como 0) – Modo de interacción</v>
      </c>
      <c r="K139" s="23">
        <f>IF(ISNUMBER(F139),IF(F139&lt;3,(3-F139)*E139*VLOOKUP(B139,Parametros!$A$5:$D$15,4,0)*100+ROW()/100000,0),IF(F139="",3*E139*VLOOKUP(B139,Parametros!$A$5:$D$15,4,0)*100+ROW()/100000,0))</f>
        <v>84.001390000000015</v>
      </c>
    </row>
    <row r="140" spans="1:11" ht="54" customHeight="1">
      <c r="A140" s="9" t="s">
        <v>637</v>
      </c>
      <c r="B140" s="9" t="s">
        <v>77</v>
      </c>
      <c r="C140" s="4" t="s">
        <v>638</v>
      </c>
      <c r="D140" s="4" t="s">
        <v>1362</v>
      </c>
      <c r="E140" s="19">
        <f>INDEX(Rubricas!$M$4:$M$112,MATCH(A140,Rubricas!$A$4:$A$112,0))</f>
        <v>2</v>
      </c>
      <c r="F140" s="22"/>
      <c r="G140" s="17"/>
      <c r="H140" s="9">
        <f>IF(ISNUMBER(F140),F140*E140,0)</f>
        <v>0</v>
      </c>
      <c r="I140" s="9">
        <f>IF(F140="N/A",0,3*E140)</f>
        <v>6</v>
      </c>
      <c r="J140" s="4" t="str">
        <f>IF(F140="","Sin evaluar (núcleo, cuenta como 0) – "&amp;INDEX(Rubricas!$F$4:$F$112,MATCH(A140,Rubricas!$A$4:$A$112,0)),IF(F140="N/A","",IF(F140&lt;=1,INDEX(Rubricas!$O$4:$O$112,MATCH(A140,Rubricas!$A$4:$A$112,0)),IF(F140=2,"Por completar o validar – "&amp;INDEX(Rubricas!$F$4:$F$112,MATCH(A140,Rubricas!$A$4:$A$112,0)),""))))</f>
        <v>Sin evaluar (núcleo, cuenta como 0) – Transformaciones y mapeos</v>
      </c>
      <c r="K140" s="23">
        <f>IF(ISNUMBER(F140),IF(F140&lt;3,(3-F140)*E140*VLOOKUP(B140,Parametros!$A$5:$D$15,4,0)*100+ROW()/100000,0),IF(F140="",3*E140*VLOOKUP(B140,Parametros!$A$5:$D$15,4,0)*100+ROW()/100000,0))</f>
        <v>84.001400000000018</v>
      </c>
    </row>
    <row r="141" spans="1:11" ht="54" customHeight="1">
      <c r="A141" s="9" t="s">
        <v>646</v>
      </c>
      <c r="B141" s="9" t="s">
        <v>77</v>
      </c>
      <c r="C141" s="4" t="s">
        <v>630</v>
      </c>
      <c r="D141" s="4" t="s">
        <v>1363</v>
      </c>
      <c r="E141" s="19">
        <f>INDEX(Rubricas!$M$4:$M$112,MATCH(A141,Rubricas!$A$4:$A$112,0))</f>
        <v>2</v>
      </c>
      <c r="F141" s="22"/>
      <c r="G141" s="17"/>
      <c r="H141" s="9">
        <f>IF(ISNUMBER(F141),F141*E141,0)</f>
        <v>0</v>
      </c>
      <c r="I141" s="9">
        <f>IF(F141="N/A",0,3*E141)</f>
        <v>6</v>
      </c>
      <c r="J141" s="4" t="str">
        <f>IF(F141="","Sin evaluar (núcleo, cuenta como 0) – "&amp;INDEX(Rubricas!$F$4:$F$112,MATCH(A141,Rubricas!$A$4:$A$112,0)),IF(F141="N/A","",IF(F141&lt;=1,INDEX(Rubricas!$O$4:$O$112,MATCH(A141,Rubricas!$A$4:$A$112,0)),IF(F141=2,"Por completar o validar – "&amp;INDEX(Rubricas!$F$4:$F$112,MATCH(A141,Rubricas!$A$4:$A$112,0)),""))))</f>
        <v>Sin evaluar (núcleo, cuenta como 0) – Manejo de errores y recuperación</v>
      </c>
      <c r="K141" s="23">
        <f>IF(ISNUMBER(F141),IF(F141&lt;3,(3-F141)*E141*VLOOKUP(B141,Parametros!$A$5:$D$15,4,0)*100+ROW()/100000,0),IF(F141="",3*E141*VLOOKUP(B141,Parametros!$A$5:$D$15,4,0)*100+ROW()/100000,0))</f>
        <v>84.001410000000021</v>
      </c>
    </row>
    <row r="142" spans="1:11" ht="54" customHeight="1">
      <c r="A142" s="9" t="s">
        <v>653</v>
      </c>
      <c r="B142" s="9" t="s">
        <v>77</v>
      </c>
      <c r="C142" s="4" t="s">
        <v>654</v>
      </c>
      <c r="D142" s="4" t="s">
        <v>1364</v>
      </c>
      <c r="E142" s="19">
        <f>INDEX(Rubricas!$M$4:$M$112,MATCH(A142,Rubricas!$A$4:$A$112,0))</f>
        <v>2</v>
      </c>
      <c r="F142" s="22"/>
      <c r="G142" s="17"/>
      <c r="H142" s="9">
        <f>IF(ISNUMBER(F142),F142*E142,0)</f>
        <v>0</v>
      </c>
      <c r="I142" s="9">
        <f>IF(F142="N/A",0,3*E142)</f>
        <v>6</v>
      </c>
      <c r="J142" s="4" t="str">
        <f>IF(F142="","Sin evaluar (núcleo, cuenta como 0) – "&amp;INDEX(Rubricas!$F$4:$F$112,MATCH(A142,Rubricas!$A$4:$A$112,0)),IF(F142="N/A","",IF(F142&lt;=1,INDEX(Rubricas!$O$4:$O$112,MATCH(A142,Rubricas!$A$4:$A$112,0)),IF(F142=2,"Por completar o validar – "&amp;INDEX(Rubricas!$F$4:$F$112,MATCH(A142,Rubricas!$A$4:$A$112,0)),""))))</f>
        <v>Sin evaluar (núcleo, cuenta como 0) – Seguridad de las integraciones</v>
      </c>
      <c r="K142" s="23">
        <f>IF(ISNUMBER(F142),IF(F142&lt;3,(3-F142)*E142*VLOOKUP(B142,Parametros!$A$5:$D$15,4,0)*100+ROW()/100000,0),IF(F142="",3*E142*VLOOKUP(B142,Parametros!$A$5:$D$15,4,0)*100+ROW()/100000,0))</f>
        <v>84.00142000000001</v>
      </c>
    </row>
    <row r="143" spans="1:11" ht="54" customHeight="1">
      <c r="A143" s="9" t="s">
        <v>661</v>
      </c>
      <c r="B143" s="9" t="s">
        <v>77</v>
      </c>
      <c r="C143" s="4" t="s">
        <v>662</v>
      </c>
      <c r="D143" s="4" t="s">
        <v>1365</v>
      </c>
      <c r="E143" s="19">
        <f>INDEX(Rubricas!$M$4:$M$112,MATCH(A143,Rubricas!$A$4:$A$112,0))</f>
        <v>2</v>
      </c>
      <c r="F143" s="22"/>
      <c r="G143" s="17"/>
      <c r="H143" s="9">
        <f>IF(ISNUMBER(F143),F143*E143,0)</f>
        <v>0</v>
      </c>
      <c r="I143" s="9">
        <f>IF(F143="N/A",0,3*E143)</f>
        <v>6</v>
      </c>
      <c r="J143" s="4" t="str">
        <f>IF(F143="","Sin evaluar (núcleo, cuenta como 0) – "&amp;INDEX(Rubricas!$F$4:$F$112,MATCH(A143,Rubricas!$A$4:$A$112,0)),IF(F143="N/A","",IF(F143&lt;=1,INDEX(Rubricas!$O$4:$O$112,MATCH(A143,Rubricas!$A$4:$A$112,0)),IF(F143=2,"Por completar o validar – "&amp;INDEX(Rubricas!$F$4:$F$112,MATCH(A143,Rubricas!$A$4:$A$112,0)),""))))</f>
        <v>Sin evaluar (núcleo, cuenta como 0) – Ambientes de prueba de terceros</v>
      </c>
      <c r="K143" s="23">
        <f>IF(ISNUMBER(F143),IF(F143&lt;3,(3-F143)*E143*VLOOKUP(B143,Parametros!$A$5:$D$15,4,0)*100+ROW()/100000,0),IF(F143="",3*E143*VLOOKUP(B143,Parametros!$A$5:$D$15,4,0)*100+ROW()/100000,0))</f>
        <v>84.001430000000013</v>
      </c>
    </row>
    <row r="144" spans="1:11" ht="54" customHeight="1">
      <c r="A144" s="9" t="s">
        <v>671</v>
      </c>
      <c r="B144" s="9" t="s">
        <v>77</v>
      </c>
      <c r="C144" s="4" t="s">
        <v>662</v>
      </c>
      <c r="D144" s="4" t="s">
        <v>1366</v>
      </c>
      <c r="E144" s="19">
        <f>INDEX(Rubricas!$M$4:$M$112,MATCH(A144,Rubricas!$A$4:$A$112,0))</f>
        <v>2</v>
      </c>
      <c r="F144" s="22"/>
      <c r="G144" s="17"/>
      <c r="H144" s="9">
        <f>IF(ISNUMBER(F144),F144*E144,0)</f>
        <v>0</v>
      </c>
      <c r="I144" s="9">
        <f>IF(F144="N/A",0,3*E144)</f>
        <v>6</v>
      </c>
      <c r="J144" s="4" t="str">
        <f>IF(F144="","Sin evaluar (núcleo, cuenta como 0) – "&amp;INDEX(Rubricas!$F$4:$F$112,MATCH(A144,Rubricas!$A$4:$A$112,0)),IF(F144="N/A","",IF(F144&lt;=1,INDEX(Rubricas!$O$4:$O$112,MATCH(A144,Rubricas!$A$4:$A$112,0)),IF(F144=2,"Por completar o validar – "&amp;INDEX(Rubricas!$F$4:$F$112,MATCH(A144,Rubricas!$A$4:$A$112,0)),""))))</f>
        <v>Sin evaluar (núcleo, cuenta como 0) – Contrapartes y compromisos</v>
      </c>
      <c r="K144" s="23">
        <f>IF(ISNUMBER(F144),IF(F144&lt;3,(3-F144)*E144*VLOOKUP(B144,Parametros!$A$5:$D$15,4,0)*100+ROW()/100000,0),IF(F144="",3*E144*VLOOKUP(B144,Parametros!$A$5:$D$15,4,0)*100+ROW()/100000,0))</f>
        <v>84.001440000000017</v>
      </c>
    </row>
    <row r="145" spans="1:11" ht="54" customHeight="1">
      <c r="A145" s="9" t="s">
        <v>679</v>
      </c>
      <c r="B145" s="9" t="s">
        <v>77</v>
      </c>
      <c r="C145" s="4" t="s">
        <v>595</v>
      </c>
      <c r="D145" s="4" t="s">
        <v>1367</v>
      </c>
      <c r="E145" s="19">
        <f>INDEX(Rubricas!$M$4:$M$112,MATCH(A145,Rubricas!$A$4:$A$112,0))</f>
        <v>1</v>
      </c>
      <c r="F145" s="22"/>
      <c r="G145" s="17"/>
      <c r="H145" s="9">
        <f>IF(ISNUMBER(F145),F145*E145,0)</f>
        <v>0</v>
      </c>
      <c r="I145" s="9">
        <f>IF(F145="N/A",0,3*E145)</f>
        <v>3</v>
      </c>
      <c r="J145" s="4" t="str">
        <f>IF(F145="","Sin evaluar (núcleo, cuenta como 0) – "&amp;INDEX(Rubricas!$F$4:$F$112,MATCH(A145,Rubricas!$A$4:$A$112,0)),IF(F145="N/A","",IF(F145&lt;=1,INDEX(Rubricas!$O$4:$O$112,MATCH(A145,Rubricas!$A$4:$A$112,0)),IF(F145=2,"Por completar o validar – "&amp;INDEX(Rubricas!$F$4:$F$112,MATCH(A145,Rubricas!$A$4:$A$112,0)),""))))</f>
        <v>Sin evaluar (núcleo, cuenta como 0) – Criticidad de sistemas integrados</v>
      </c>
      <c r="K145" s="23">
        <f>IF(ISNUMBER(F145),IF(F145&lt;3,(3-F145)*E145*VLOOKUP(B145,Parametros!$A$5:$D$15,4,0)*100+ROW()/100000,0),IF(F145="",3*E145*VLOOKUP(B145,Parametros!$A$5:$D$15,4,0)*100+ROW()/100000,0))</f>
        <v>42.001450000000006</v>
      </c>
    </row>
    <row r="146" spans="1:11" ht="54" customHeight="1">
      <c r="A146" s="9" t="s">
        <v>687</v>
      </c>
      <c r="B146" s="9" t="s">
        <v>77</v>
      </c>
      <c r="C146" s="4" t="s">
        <v>585</v>
      </c>
      <c r="D146" s="4" t="s">
        <v>1368</v>
      </c>
      <c r="E146" s="19">
        <f>INDEX(Rubricas!$M$4:$M$112,MATCH(A146,Rubricas!$A$4:$A$112,0))</f>
        <v>2</v>
      </c>
      <c r="F146" s="22"/>
      <c r="G146" s="17"/>
      <c r="H146" s="9">
        <f>IF(ISNUMBER(F146),F146*E146,0)</f>
        <v>0</v>
      </c>
      <c r="I146" s="9">
        <f>IF(F146="N/A",0,3*E146)</f>
        <v>6</v>
      </c>
      <c r="J146" s="4" t="str">
        <f>IF(F146="","Sin evaluar (núcleo, cuenta como 0) – "&amp;INDEX(Rubricas!$F$4:$F$112,MATCH(A146,Rubricas!$A$4:$A$112,0)),IF(F146="N/A","⚠ Este criterio no admite N/A: calificar de 0 a 3.",IF(F146&lt;=1,INDEX(Rubricas!$O$4:$O$112,MATCH(A146,Rubricas!$A$4:$A$112,0)),IF(F146=2,"Por completar o validar – "&amp;INDEX(Rubricas!$F$4:$F$112,MATCH(A146,Rubricas!$A$4:$A$112,0)),""))))</f>
        <v>Sin evaluar (núcleo, cuenta como 0) – Nivel de integración asignado</v>
      </c>
      <c r="K146" s="23">
        <f>IF(ISNUMBER(F146),IF(F146&lt;3,(3-F146)*E146*VLOOKUP(B146,Parametros!$A$5:$D$15,4,0)*100+ROW()/100000,0),IF(F146="",3*E146*VLOOKUP(B146,Parametros!$A$5:$D$15,4,0)*100+ROW()/100000,0))</f>
        <v>84.001460000000009</v>
      </c>
    </row>
    <row r="147" spans="1:11" ht="54" customHeight="1">
      <c r="A147" s="9" t="s">
        <v>695</v>
      </c>
      <c r="B147" s="9" t="s">
        <v>77</v>
      </c>
      <c r="C147" s="4" t="s">
        <v>662</v>
      </c>
      <c r="D147" s="4" t="s">
        <v>1369</v>
      </c>
      <c r="E147" s="19">
        <f>INDEX(Rubricas!$M$4:$M$112,MATCH(A147,Rubricas!$A$4:$A$112,0))</f>
        <v>2</v>
      </c>
      <c r="F147" s="22"/>
      <c r="G147" s="17"/>
      <c r="H147" s="9">
        <f>IF(ISNUMBER(F147),F147*E147,0)</f>
        <v>0</v>
      </c>
      <c r="I147" s="9">
        <f>IF(F147="N/A",0,3*E147)</f>
        <v>6</v>
      </c>
      <c r="J147" s="4" t="str">
        <f>IF(F147="","Sin evaluar (núcleo, cuenta como 0) – "&amp;INDEX(Rubricas!$F$4:$F$112,MATCH(A147,Rubricas!$A$4:$A$112,0)),IF(F147="N/A","",IF(F147&lt;=1,INDEX(Rubricas!$O$4:$O$112,MATCH(A147,Rubricas!$A$4:$A$112,0)),IF(F147=2,"Por completar o validar – "&amp;INDEX(Rubricas!$F$4:$F$112,MATCH(A147,Rubricas!$A$4:$A$112,0)),""))))</f>
        <v>Sin evaluar (núcleo, cuenta como 0) – Estado de las interfaces</v>
      </c>
      <c r="K147" s="23">
        <f>IF(ISNUMBER(F147),IF(F147&lt;3,(3-F147)*E147*VLOOKUP(B147,Parametros!$A$5:$D$15,4,0)*100+ROW()/100000,0),IF(F147="",3*E147*VLOOKUP(B147,Parametros!$A$5:$D$15,4,0)*100+ROW()/100000,0))</f>
        <v>84.001470000000012</v>
      </c>
    </row>
    <row r="148" spans="1:11">
      <c r="A148" s="29" t="str">
        <f>"D6 · Novedad y reutilización — Complementaria · peso "&amp;TEXT(Parametros!$D$10,"0%")&amp;" · 7 criterios"</f>
        <v>D6 · Novedad y reutilización — Complementaria · peso 5% · 7 criterios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</row>
    <row r="149" spans="1:11" ht="54" customHeight="1">
      <c r="A149" s="9" t="s">
        <v>703</v>
      </c>
      <c r="B149" s="9" t="s">
        <v>84</v>
      </c>
      <c r="C149" s="4" t="s">
        <v>704</v>
      </c>
      <c r="D149" s="4" t="s">
        <v>1370</v>
      </c>
      <c r="E149" s="19">
        <f>INDEX(Rubricas!$M$4:$M$112,MATCH(A149,Rubricas!$A$4:$A$112,0))</f>
        <v>2</v>
      </c>
      <c r="F149" s="22"/>
      <c r="G149" s="17"/>
      <c r="H149" s="9">
        <f>IF(ISNUMBER(F149),F149*E149,0)</f>
        <v>0</v>
      </c>
      <c r="I149" s="9">
        <f>IF(F149="N/A",0,3*E149)</f>
        <v>6</v>
      </c>
      <c r="J149" s="4" t="str">
        <f>IF(F149="","",IF(F149="N/A","⚠ Este criterio no admite N/A: calificar de 0 a 3.",IF(F149&lt;=1,INDEX(Rubricas!$O$4:$O$112,MATCH(A149,Rubricas!$A$4:$A$112,0)),IF(F149=2,"Por completar o validar – "&amp;INDEX(Rubricas!$F$4:$F$112,MATCH(A149,Rubricas!$A$4:$A$112,0)),""))))</f>
        <v/>
      </c>
      <c r="K149" s="23">
        <f>IF(ISNUMBER(F149),IF(F149&lt;3,(3-F149)*E149*VLOOKUP(B149,Parametros!$A$5:$D$15,4,0)*100+ROW()/100000,0),IF(F149="",0,0))</f>
        <v>0</v>
      </c>
    </row>
    <row r="150" spans="1:11" ht="54" customHeight="1">
      <c r="A150" s="9" t="s">
        <v>711</v>
      </c>
      <c r="B150" s="9" t="s">
        <v>84</v>
      </c>
      <c r="C150" s="4" t="s">
        <v>712</v>
      </c>
      <c r="D150" s="4" t="s">
        <v>1371</v>
      </c>
      <c r="E150" s="19">
        <f>INDEX(Rubricas!$M$4:$M$112,MATCH(A150,Rubricas!$A$4:$A$112,0))</f>
        <v>3</v>
      </c>
      <c r="F150" s="22"/>
      <c r="G150" s="17"/>
      <c r="H150" s="9">
        <f>IF(ISNUMBER(F150),F150*E150,0)</f>
        <v>0</v>
      </c>
      <c r="I150" s="9">
        <f>IF(F150="N/A",0,3*E150)</f>
        <v>9</v>
      </c>
      <c r="J150" s="4" t="str">
        <f>IF(F150="","",IF(F150="N/A","⚠ Este criterio no admite N/A: calificar de 0 a 3.",IF(F150&lt;=1,INDEX(Rubricas!$O$4:$O$112,MATCH(A150,Rubricas!$A$4:$A$112,0)),IF(F150=2,"Por completar o validar – "&amp;INDEX(Rubricas!$F$4:$F$112,MATCH(A150,Rubricas!$A$4:$A$112,0)),""))))</f>
        <v/>
      </c>
      <c r="K150" s="23">
        <f>IF(ISNUMBER(F150),IF(F150&lt;3,(3-F150)*E150*VLOOKUP(B150,Parametros!$A$5:$D$15,4,0)*100+ROW()/100000,0),IF(F150="",0,0))</f>
        <v>0</v>
      </c>
    </row>
    <row r="151" spans="1:11" ht="54" customHeight="1">
      <c r="A151" s="9" t="s">
        <v>721</v>
      </c>
      <c r="B151" s="9" t="s">
        <v>84</v>
      </c>
      <c r="C151" s="4" t="s">
        <v>722</v>
      </c>
      <c r="D151" s="4" t="s">
        <v>1372</v>
      </c>
      <c r="E151" s="19">
        <f>INDEX(Rubricas!$M$4:$M$112,MATCH(A151,Rubricas!$A$4:$A$112,0))</f>
        <v>2</v>
      </c>
      <c r="F151" s="22"/>
      <c r="G151" s="17"/>
      <c r="H151" s="9">
        <f>IF(ISNUMBER(F151),F151*E151,0)</f>
        <v>0</v>
      </c>
      <c r="I151" s="9">
        <f>IF(F151="N/A",0,3*E151)</f>
        <v>6</v>
      </c>
      <c r="J151" s="4" t="str">
        <f>IF(F151="","",IF(F151="N/A","",IF(F151&lt;=1,INDEX(Rubricas!$O$4:$O$112,MATCH(A151,Rubricas!$A$4:$A$112,0)),IF(F151=2,"Por completar o validar – "&amp;INDEX(Rubricas!$F$4:$F$112,MATCH(A151,Rubricas!$A$4:$A$112,0)),""))))</f>
        <v/>
      </c>
      <c r="K151" s="23">
        <f>IF(ISNUMBER(F151),IF(F151&lt;3,(3-F151)*E151*VLOOKUP(B151,Parametros!$A$5:$D$15,4,0)*100+ROW()/100000,0),IF(F151="",0,0))</f>
        <v>0</v>
      </c>
    </row>
    <row r="152" spans="1:11" ht="54" customHeight="1">
      <c r="A152" s="9" t="s">
        <v>731</v>
      </c>
      <c r="B152" s="9" t="s">
        <v>84</v>
      </c>
      <c r="C152" s="4" t="s">
        <v>722</v>
      </c>
      <c r="D152" s="4" t="s">
        <v>1373</v>
      </c>
      <c r="E152" s="19">
        <f>INDEX(Rubricas!$M$4:$M$112,MATCH(A152,Rubricas!$A$4:$A$112,0))</f>
        <v>2</v>
      </c>
      <c r="F152" s="22"/>
      <c r="G152" s="17"/>
      <c r="H152" s="9">
        <f>IF(ISNUMBER(F152),F152*E152,0)</f>
        <v>0</v>
      </c>
      <c r="I152" s="9">
        <f>IF(F152="N/A",0,3*E152)</f>
        <v>6</v>
      </c>
      <c r="J152" s="4" t="str">
        <f>IF(F152="","",IF(F152="N/A","",IF(F152&lt;=1,INDEX(Rubricas!$O$4:$O$112,MATCH(A152,Rubricas!$A$4:$A$112,0)),IF(F152=2,"Por completar o validar – "&amp;INDEX(Rubricas!$F$4:$F$112,MATCH(A152,Rubricas!$A$4:$A$112,0)),""))))</f>
        <v/>
      </c>
      <c r="K152" s="23">
        <f>IF(ISNUMBER(F152),IF(F152&lt;3,(3-F152)*E152*VLOOKUP(B152,Parametros!$A$5:$D$15,4,0)*100+ROW()/100000,0),IF(F152="",0,0))</f>
        <v>0</v>
      </c>
    </row>
    <row r="153" spans="1:11" ht="54" customHeight="1">
      <c r="A153" s="9" t="s">
        <v>738</v>
      </c>
      <c r="B153" s="9" t="s">
        <v>84</v>
      </c>
      <c r="C153" s="4" t="s">
        <v>712</v>
      </c>
      <c r="D153" s="4" t="s">
        <v>1374</v>
      </c>
      <c r="E153" s="19">
        <f>INDEX(Rubricas!$M$4:$M$112,MATCH(A153,Rubricas!$A$4:$A$112,0))</f>
        <v>1</v>
      </c>
      <c r="F153" s="22"/>
      <c r="G153" s="17"/>
      <c r="H153" s="9">
        <f>IF(ISNUMBER(F153),F153*E153,0)</f>
        <v>0</v>
      </c>
      <c r="I153" s="9">
        <f>IF(F153="N/A",0,3*E153)</f>
        <v>3</v>
      </c>
      <c r="J153" s="4" t="str">
        <f>IF(F153="","",IF(F153="N/A","",IF(F153&lt;=1,INDEX(Rubricas!$O$4:$O$112,MATCH(A153,Rubricas!$A$4:$A$112,0)),IF(F153=2,"Por completar o validar – "&amp;INDEX(Rubricas!$F$4:$F$112,MATCH(A153,Rubricas!$A$4:$A$112,0)),""))))</f>
        <v/>
      </c>
      <c r="K153" s="23">
        <f>IF(ISNUMBER(F153),IF(F153&lt;3,(3-F153)*E153*VLOOKUP(B153,Parametros!$A$5:$D$15,4,0)*100+ROW()/100000,0),IF(F153="",0,0))</f>
        <v>0</v>
      </c>
    </row>
    <row r="154" spans="1:11" ht="54" customHeight="1">
      <c r="A154" s="9" t="s">
        <v>746</v>
      </c>
      <c r="B154" s="9" t="s">
        <v>84</v>
      </c>
      <c r="C154" s="4" t="s">
        <v>585</v>
      </c>
      <c r="D154" s="4" t="s">
        <v>1375</v>
      </c>
      <c r="E154" s="19">
        <f>INDEX(Rubricas!$M$4:$M$112,MATCH(A154,Rubricas!$A$4:$A$112,0))</f>
        <v>2</v>
      </c>
      <c r="F154" s="22"/>
      <c r="G154" s="17"/>
      <c r="H154" s="9">
        <f>IF(ISNUMBER(F154),F154*E154,0)</f>
        <v>0</v>
      </c>
      <c r="I154" s="9">
        <f>IF(F154="N/A",0,3*E154)</f>
        <v>6</v>
      </c>
      <c r="J154" s="4" t="str">
        <f>IF(F154="","",IF(F154="N/A","⚠ Este criterio no admite N/A: calificar de 0 a 3.",IF(F154&lt;=1,INDEX(Rubricas!$O$4:$O$112,MATCH(A154,Rubricas!$A$4:$A$112,0)),IF(F154=2,"Por completar o validar – "&amp;INDEX(Rubricas!$F$4:$F$112,MATCH(A154,Rubricas!$A$4:$A$112,0)),""))))</f>
        <v/>
      </c>
      <c r="K154" s="23">
        <f>IF(ISNUMBER(F154),IF(F154&lt;3,(3-F154)*E154*VLOOKUP(B154,Parametros!$A$5:$D$15,4,0)*100+ROW()/100000,0),IF(F154="",0,0))</f>
        <v>0</v>
      </c>
    </row>
    <row r="155" spans="1:11" ht="54" customHeight="1">
      <c r="A155" s="9" t="s">
        <v>754</v>
      </c>
      <c r="B155" s="9" t="s">
        <v>84</v>
      </c>
      <c r="C155" s="4" t="s">
        <v>704</v>
      </c>
      <c r="D155" s="4" t="s">
        <v>1376</v>
      </c>
      <c r="E155" s="19">
        <f>INDEX(Rubricas!$M$4:$M$112,MATCH(A155,Rubricas!$A$4:$A$112,0))</f>
        <v>1</v>
      </c>
      <c r="F155" s="22"/>
      <c r="G155" s="17"/>
      <c r="H155" s="9">
        <f>IF(ISNUMBER(F155),F155*E155,0)</f>
        <v>0</v>
      </c>
      <c r="I155" s="9">
        <f>IF(F155="N/A",0,3*E155)</f>
        <v>3</v>
      </c>
      <c r="J155" s="4" t="str">
        <f>IF(F155="","",IF(F155="N/A","⚠ Este criterio no admite N/A: calificar de 0 a 3.",IF(F155&lt;=1,INDEX(Rubricas!$O$4:$O$112,MATCH(A155,Rubricas!$A$4:$A$112,0)),IF(F155=2,"Por completar o validar – "&amp;INDEX(Rubricas!$F$4:$F$112,MATCH(A155,Rubricas!$A$4:$A$112,0)),""))))</f>
        <v/>
      </c>
      <c r="K155" s="23">
        <f>IF(ISNUMBER(F155),IF(F155&lt;3,(3-F155)*E155*VLOOKUP(B155,Parametros!$A$5:$D$15,4,0)*100+ROW()/100000,0),IF(F155="",0,0))</f>
        <v>0</v>
      </c>
    </row>
    <row r="156" spans="1:11">
      <c r="A156" s="29" t="str">
        <f>"D7 · Entorno tecnológico — Complementaria · peso "&amp;TEXT(Parametros!$D$11,"0%")&amp;" · 7 criterios"</f>
        <v>D7 · Entorno tecnológico — Complementaria · peso 5% · 7 criterios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spans="1:11" ht="54" customHeight="1">
      <c r="A157" s="9" t="s">
        <v>761</v>
      </c>
      <c r="B157" s="9" t="s">
        <v>92</v>
      </c>
      <c r="C157" s="4" t="s">
        <v>762</v>
      </c>
      <c r="D157" s="4" t="s">
        <v>1377</v>
      </c>
      <c r="E157" s="19">
        <f>INDEX(Rubricas!$M$4:$M$112,MATCH(A157,Rubricas!$A$4:$A$112,0))</f>
        <v>3</v>
      </c>
      <c r="F157" s="22"/>
      <c r="G157" s="17"/>
      <c r="H157" s="9">
        <f>IF(ISNUMBER(F157),F157*E157,0)</f>
        <v>0</v>
      </c>
      <c r="I157" s="9">
        <f>IF(F157="N/A",0,3*E157)</f>
        <v>9</v>
      </c>
      <c r="J157" s="4" t="str">
        <f>IF(F157="","",IF(F157="N/A","⚠ Este criterio no admite N/A: calificar de 0 a 3.",IF(F157&lt;=1,INDEX(Rubricas!$O$4:$O$112,MATCH(A157,Rubricas!$A$4:$A$112,0)),IF(F157=2,"Por completar o validar – "&amp;INDEX(Rubricas!$F$4:$F$112,MATCH(A157,Rubricas!$A$4:$A$112,0)),""))))</f>
        <v/>
      </c>
      <c r="K157" s="23">
        <f>IF(ISNUMBER(F157),IF(F157&lt;3,(3-F157)*E157*VLOOKUP(B157,Parametros!$A$5:$D$15,4,0)*100+ROW()/100000,0),IF(F157="",0,0))</f>
        <v>0</v>
      </c>
    </row>
    <row r="158" spans="1:11" ht="54" customHeight="1">
      <c r="A158" s="9" t="s">
        <v>769</v>
      </c>
      <c r="B158" s="9" t="s">
        <v>92</v>
      </c>
      <c r="C158" s="4" t="s">
        <v>770</v>
      </c>
      <c r="D158" s="4" t="s">
        <v>1378</v>
      </c>
      <c r="E158" s="19">
        <f>INDEX(Rubricas!$M$4:$M$112,MATCH(A158,Rubricas!$A$4:$A$112,0))</f>
        <v>2</v>
      </c>
      <c r="F158" s="22"/>
      <c r="G158" s="17"/>
      <c r="H158" s="9">
        <f>IF(ISNUMBER(F158),F158*E158,0)</f>
        <v>0</v>
      </c>
      <c r="I158" s="9">
        <f>IF(F158="N/A",0,3*E158)</f>
        <v>6</v>
      </c>
      <c r="J158" s="4" t="str">
        <f>IF(F158="","",IF(F158="N/A","⚠ Este criterio no admite N/A: calificar de 0 a 3.",IF(F158&lt;=1,INDEX(Rubricas!$O$4:$O$112,MATCH(A158,Rubricas!$A$4:$A$112,0)),IF(F158=2,"Por completar o validar – "&amp;INDEX(Rubricas!$F$4:$F$112,MATCH(A158,Rubricas!$A$4:$A$112,0)),""))))</f>
        <v/>
      </c>
      <c r="K158" s="23">
        <f>IF(ISNUMBER(F158),IF(F158&lt;3,(3-F158)*E158*VLOOKUP(B158,Parametros!$A$5:$D$15,4,0)*100+ROW()/100000,0),IF(F158="",0,0))</f>
        <v>0</v>
      </c>
    </row>
    <row r="159" spans="1:11" ht="54" customHeight="1">
      <c r="A159" s="9" t="s">
        <v>777</v>
      </c>
      <c r="B159" s="9" t="s">
        <v>92</v>
      </c>
      <c r="C159" s="4" t="s">
        <v>770</v>
      </c>
      <c r="D159" s="4" t="s">
        <v>1379</v>
      </c>
      <c r="E159" s="19">
        <f>INDEX(Rubricas!$M$4:$M$112,MATCH(A159,Rubricas!$A$4:$A$112,0))</f>
        <v>2</v>
      </c>
      <c r="F159" s="22"/>
      <c r="G159" s="17"/>
      <c r="H159" s="9">
        <f>IF(ISNUMBER(F159),F159*E159,0)</f>
        <v>0</v>
      </c>
      <c r="I159" s="9">
        <f>IF(F159="N/A",0,3*E159)</f>
        <v>6</v>
      </c>
      <c r="J159" s="4" t="str">
        <f>IF(F159="","",IF(F159="N/A","⚠ Este criterio no admite N/A: calificar de 0 a 3.",IF(F159&lt;=1,INDEX(Rubricas!$O$4:$O$112,MATCH(A159,Rubricas!$A$4:$A$112,0)),IF(F159=2,"Por completar o validar – "&amp;INDEX(Rubricas!$F$4:$F$112,MATCH(A159,Rubricas!$A$4:$A$112,0)),""))))</f>
        <v/>
      </c>
      <c r="K159" s="23">
        <f>IF(ISNUMBER(F159),IF(F159&lt;3,(3-F159)*E159*VLOOKUP(B159,Parametros!$A$5:$D$15,4,0)*100+ROW()/100000,0),IF(F159="",0,0))</f>
        <v>0</v>
      </c>
    </row>
    <row r="160" spans="1:11" ht="54" customHeight="1">
      <c r="A160" s="9" t="s">
        <v>784</v>
      </c>
      <c r="B160" s="9" t="s">
        <v>92</v>
      </c>
      <c r="C160" s="4" t="s">
        <v>785</v>
      </c>
      <c r="D160" s="4" t="s">
        <v>1380</v>
      </c>
      <c r="E160" s="19">
        <f>INDEX(Rubricas!$M$4:$M$112,MATCH(A160,Rubricas!$A$4:$A$112,0))</f>
        <v>3</v>
      </c>
      <c r="F160" s="22"/>
      <c r="G160" s="17"/>
      <c r="H160" s="9">
        <f>IF(ISNUMBER(F160),F160*E160,0)</f>
        <v>0</v>
      </c>
      <c r="I160" s="9">
        <f>IF(F160="N/A",0,3*E160)</f>
        <v>9</v>
      </c>
      <c r="J160" s="4" t="str">
        <f>IF(F160="","",IF(F160="N/A","⚠ Este criterio no admite N/A: calificar de 0 a 3.",IF(F160&lt;=1,INDEX(Rubricas!$O$4:$O$112,MATCH(A160,Rubricas!$A$4:$A$112,0)),IF(F160=2,"Por completar o validar – "&amp;INDEX(Rubricas!$F$4:$F$112,MATCH(A160,Rubricas!$A$4:$A$112,0)),""))))</f>
        <v/>
      </c>
      <c r="K160" s="23">
        <f>IF(ISNUMBER(F160),IF(F160&lt;3,(3-F160)*E160*VLOOKUP(B160,Parametros!$A$5:$D$15,4,0)*100+ROW()/100000,0),IF(F160="",0,0))</f>
        <v>0</v>
      </c>
    </row>
    <row r="161" spans="1:11" ht="54" customHeight="1">
      <c r="A161" s="9" t="s">
        <v>793</v>
      </c>
      <c r="B161" s="9" t="s">
        <v>92</v>
      </c>
      <c r="C161" s="4" t="s">
        <v>794</v>
      </c>
      <c r="D161" s="4" t="s">
        <v>1381</v>
      </c>
      <c r="E161" s="19">
        <f>INDEX(Rubricas!$M$4:$M$112,MATCH(A161,Rubricas!$A$4:$A$112,0))</f>
        <v>1</v>
      </c>
      <c r="F161" s="22"/>
      <c r="G161" s="17"/>
      <c r="H161" s="9">
        <f>IF(ISNUMBER(F161),F161*E161,0)</f>
        <v>0</v>
      </c>
      <c r="I161" s="9">
        <f>IF(F161="N/A",0,3*E161)</f>
        <v>3</v>
      </c>
      <c r="J161" s="4" t="str">
        <f>IF(F161="","",IF(F161="N/A","⚠ Este criterio no admite N/A: calificar de 0 a 3.",IF(F161&lt;=1,INDEX(Rubricas!$O$4:$O$112,MATCH(A161,Rubricas!$A$4:$A$112,0)),IF(F161=2,"Por completar o validar – "&amp;INDEX(Rubricas!$F$4:$F$112,MATCH(A161,Rubricas!$A$4:$A$112,0)),""))))</f>
        <v/>
      </c>
      <c r="K161" s="23">
        <f>IF(ISNUMBER(F161),IF(F161&lt;3,(3-F161)*E161*VLOOKUP(B161,Parametros!$A$5:$D$15,4,0)*100+ROW()/100000,0),IF(F161="",0,0))</f>
        <v>0</v>
      </c>
    </row>
    <row r="162" spans="1:11" ht="54" customHeight="1">
      <c r="A162" s="9" t="s">
        <v>803</v>
      </c>
      <c r="B162" s="9" t="s">
        <v>92</v>
      </c>
      <c r="C162" s="4" t="s">
        <v>794</v>
      </c>
      <c r="D162" s="4" t="s">
        <v>1382</v>
      </c>
      <c r="E162" s="19">
        <f>INDEX(Rubricas!$M$4:$M$112,MATCH(A162,Rubricas!$A$4:$A$112,0))</f>
        <v>2</v>
      </c>
      <c r="F162" s="22"/>
      <c r="G162" s="17"/>
      <c r="H162" s="9">
        <f>IF(ISNUMBER(F162),F162*E162,0)</f>
        <v>0</v>
      </c>
      <c r="I162" s="9">
        <f>IF(F162="N/A",0,3*E162)</f>
        <v>6</v>
      </c>
      <c r="J162" s="4" t="str">
        <f>IF(F162="","",IF(F162="N/A","⚠ Este criterio no admite N/A: calificar de 0 a 3.",IF(F162&lt;=1,INDEX(Rubricas!$O$4:$O$112,MATCH(A162,Rubricas!$A$4:$A$112,0)),IF(F162=2,"Por completar o validar – "&amp;INDEX(Rubricas!$F$4:$F$112,MATCH(A162,Rubricas!$A$4:$A$112,0)),""))))</f>
        <v/>
      </c>
      <c r="K162" s="23">
        <f>IF(ISNUMBER(F162),IF(F162&lt;3,(3-F162)*E162*VLOOKUP(B162,Parametros!$A$5:$D$15,4,0)*100+ROW()/100000,0),IF(F162="",0,0))</f>
        <v>0</v>
      </c>
    </row>
    <row r="163" spans="1:11" ht="54" customHeight="1">
      <c r="A163" s="9" t="s">
        <v>810</v>
      </c>
      <c r="B163" s="9" t="s">
        <v>92</v>
      </c>
      <c r="C163" s="4" t="s">
        <v>811</v>
      </c>
      <c r="D163" s="4" t="s">
        <v>1383</v>
      </c>
      <c r="E163" s="19">
        <f>INDEX(Rubricas!$M$4:$M$112,MATCH(A163,Rubricas!$A$4:$A$112,0))</f>
        <v>2</v>
      </c>
      <c r="F163" s="22"/>
      <c r="G163" s="17"/>
      <c r="H163" s="9">
        <f>IF(ISNUMBER(F163),F163*E163,0)</f>
        <v>0</v>
      </c>
      <c r="I163" s="9">
        <f>IF(F163="N/A",0,3*E163)</f>
        <v>6</v>
      </c>
      <c r="J163" s="4" t="str">
        <f>IF(F163="","",IF(F163="N/A","⚠ Este criterio no admite N/A: calificar de 0 a 3.",IF(F163&lt;=1,INDEX(Rubricas!$O$4:$O$112,MATCH(A163,Rubricas!$A$4:$A$112,0)),IF(F163=2,"Por completar o validar – "&amp;INDEX(Rubricas!$F$4:$F$112,MATCH(A163,Rubricas!$A$4:$A$112,0)),""))))</f>
        <v/>
      </c>
      <c r="K163" s="23">
        <f>IF(ISNUMBER(F163),IF(F163&lt;3,(3-F163)*E163*VLOOKUP(B163,Parametros!$A$5:$D$15,4,0)*100+ROW()/100000,0),IF(F163="",0,0))</f>
        <v>0</v>
      </c>
    </row>
    <row r="164" spans="1:11">
      <c r="A164" s="29" t="str">
        <f>"D8 · Madurez del alcance — Complementaria · peso "&amp;TEXT(Parametros!$D$12,"0%")&amp;" · 11 criterios"</f>
        <v>D8 · Madurez del alcance — Complementaria · peso 7% · 11 criterios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spans="1:11" ht="54" customHeight="1">
      <c r="A165" s="9" t="s">
        <v>818</v>
      </c>
      <c r="B165" s="9" t="s">
        <v>99</v>
      </c>
      <c r="C165" s="4" t="s">
        <v>819</v>
      </c>
      <c r="D165" s="4" t="s">
        <v>1384</v>
      </c>
      <c r="E165" s="19">
        <f>INDEX(Rubricas!$M$4:$M$112,MATCH(A165,Rubricas!$A$4:$A$112,0))</f>
        <v>2</v>
      </c>
      <c r="F165" s="22"/>
      <c r="G165" s="17"/>
      <c r="H165" s="9">
        <f>IF(ISNUMBER(F165),F165*E165,0)</f>
        <v>0</v>
      </c>
      <c r="I165" s="9">
        <f>IF(F165="N/A",0,3*E165)</f>
        <v>6</v>
      </c>
      <c r="J165" s="4" t="str">
        <f>IF(F165="","",IF(F165="N/A","⚠ Este criterio no admite N/A: calificar de 0 a 3.",IF(F165&lt;=1,INDEX(Rubricas!$O$4:$O$112,MATCH(A165,Rubricas!$A$4:$A$112,0)),IF(F165=2,"Por completar o validar – "&amp;INDEX(Rubricas!$F$4:$F$112,MATCH(A165,Rubricas!$A$4:$A$112,0)),""))))</f>
        <v/>
      </c>
      <c r="K165" s="23">
        <f>IF(ISNUMBER(F165),IF(F165&lt;3,(3-F165)*E165*VLOOKUP(B165,Parametros!$A$5:$D$15,4,0)*100+ROW()/100000,0),IF(F165="",0,0))</f>
        <v>0</v>
      </c>
    </row>
    <row r="166" spans="1:11" ht="54" customHeight="1">
      <c r="A166" s="9" t="s">
        <v>827</v>
      </c>
      <c r="B166" s="9" t="s">
        <v>99</v>
      </c>
      <c r="C166" s="4" t="s">
        <v>819</v>
      </c>
      <c r="D166" s="4" t="s">
        <v>1385</v>
      </c>
      <c r="E166" s="19">
        <f>INDEX(Rubricas!$M$4:$M$112,MATCH(A166,Rubricas!$A$4:$A$112,0))</f>
        <v>2</v>
      </c>
      <c r="F166" s="22"/>
      <c r="G166" s="17"/>
      <c r="H166" s="9">
        <f>IF(ISNUMBER(F166),F166*E166,0)</f>
        <v>0</v>
      </c>
      <c r="I166" s="9">
        <f>IF(F166="N/A",0,3*E166)</f>
        <v>6</v>
      </c>
      <c r="J166" s="4" t="str">
        <f>IF(F166="","",IF(F166="N/A","⚠ Este criterio no admite N/A: calificar de 0 a 3.",IF(F166&lt;=1,INDEX(Rubricas!$O$4:$O$112,MATCH(A166,Rubricas!$A$4:$A$112,0)),IF(F166=2,"Por completar o validar – "&amp;INDEX(Rubricas!$F$4:$F$112,MATCH(A166,Rubricas!$A$4:$A$112,0)),""))))</f>
        <v/>
      </c>
      <c r="K166" s="23">
        <f>IF(ISNUMBER(F166),IF(F166&lt;3,(3-F166)*E166*VLOOKUP(B166,Parametros!$A$5:$D$15,4,0)*100+ROW()/100000,0),IF(F166="",0,0))</f>
        <v>0</v>
      </c>
    </row>
    <row r="167" spans="1:11" ht="54" customHeight="1">
      <c r="A167" s="9" t="s">
        <v>834</v>
      </c>
      <c r="B167" s="9" t="s">
        <v>99</v>
      </c>
      <c r="C167" s="4" t="s">
        <v>835</v>
      </c>
      <c r="D167" s="4" t="s">
        <v>1386</v>
      </c>
      <c r="E167" s="19">
        <f>INDEX(Rubricas!$M$4:$M$112,MATCH(A167,Rubricas!$A$4:$A$112,0))</f>
        <v>3</v>
      </c>
      <c r="F167" s="22"/>
      <c r="G167" s="17"/>
      <c r="H167" s="9">
        <f>IF(ISNUMBER(F167),F167*E167,0)</f>
        <v>0</v>
      </c>
      <c r="I167" s="9">
        <f>IF(F167="N/A",0,3*E167)</f>
        <v>9</v>
      </c>
      <c r="J167" s="4" t="str">
        <f>IF(F167="","",IF(F167="N/A","⚠ Este criterio no admite N/A: calificar de 0 a 3.",IF(F167&lt;=1,INDEX(Rubricas!$O$4:$O$112,MATCH(A167,Rubricas!$A$4:$A$112,0)),IF(F167=2,"Por completar o validar – "&amp;INDEX(Rubricas!$F$4:$F$112,MATCH(A167,Rubricas!$A$4:$A$112,0)),""))))</f>
        <v/>
      </c>
      <c r="K167" s="23">
        <f>IF(ISNUMBER(F167),IF(F167&lt;3,(3-F167)*E167*VLOOKUP(B167,Parametros!$A$5:$D$15,4,0)*100+ROW()/100000,0),IF(F167="",0,0))</f>
        <v>0</v>
      </c>
    </row>
    <row r="168" spans="1:11" ht="54" customHeight="1">
      <c r="A168" s="9" t="s">
        <v>843</v>
      </c>
      <c r="B168" s="9" t="s">
        <v>99</v>
      </c>
      <c r="C168" s="4" t="s">
        <v>835</v>
      </c>
      <c r="D168" s="4" t="s">
        <v>1387</v>
      </c>
      <c r="E168" s="19">
        <f>INDEX(Rubricas!$M$4:$M$112,MATCH(A168,Rubricas!$A$4:$A$112,0))</f>
        <v>2</v>
      </c>
      <c r="F168" s="22"/>
      <c r="G168" s="17"/>
      <c r="H168" s="9">
        <f>IF(ISNUMBER(F168),F168*E168,0)</f>
        <v>0</v>
      </c>
      <c r="I168" s="9">
        <f>IF(F168="N/A",0,3*E168)</f>
        <v>6</v>
      </c>
      <c r="J168" s="4" t="str">
        <f>IF(F168="","",IF(F168="N/A","⚠ Este criterio no admite N/A: calificar de 0 a 3.",IF(F168&lt;=1,INDEX(Rubricas!$O$4:$O$112,MATCH(A168,Rubricas!$A$4:$A$112,0)),IF(F168=2,"Por completar o validar – "&amp;INDEX(Rubricas!$F$4:$F$112,MATCH(A168,Rubricas!$A$4:$A$112,0)),""))))</f>
        <v/>
      </c>
      <c r="K168" s="23">
        <f>IF(ISNUMBER(F168),IF(F168&lt;3,(3-F168)*E168*VLOOKUP(B168,Parametros!$A$5:$D$15,4,0)*100+ROW()/100000,0),IF(F168="",0,0))</f>
        <v>0</v>
      </c>
    </row>
    <row r="169" spans="1:11" ht="54" customHeight="1">
      <c r="A169" s="9" t="s">
        <v>851</v>
      </c>
      <c r="B169" s="9" t="s">
        <v>99</v>
      </c>
      <c r="C169" s="4" t="s">
        <v>852</v>
      </c>
      <c r="D169" s="4" t="s">
        <v>1388</v>
      </c>
      <c r="E169" s="19">
        <f>INDEX(Rubricas!$M$4:$M$112,MATCH(A169,Rubricas!$A$4:$A$112,0))</f>
        <v>2</v>
      </c>
      <c r="F169" s="22"/>
      <c r="G169" s="17"/>
      <c r="H169" s="9">
        <f>IF(ISNUMBER(F169),F169*E169,0)</f>
        <v>0</v>
      </c>
      <c r="I169" s="9">
        <f>IF(F169="N/A",0,3*E169)</f>
        <v>6</v>
      </c>
      <c r="J169" s="4" t="str">
        <f>IF(F169="","",IF(F169="N/A","⚠ Este criterio no admite N/A: calificar de 0 a 3.",IF(F169&lt;=1,INDEX(Rubricas!$O$4:$O$112,MATCH(A169,Rubricas!$A$4:$A$112,0)),IF(F169=2,"Por completar o validar – "&amp;INDEX(Rubricas!$F$4:$F$112,MATCH(A169,Rubricas!$A$4:$A$112,0)),""))))</f>
        <v/>
      </c>
      <c r="K169" s="23">
        <f>IF(ISNUMBER(F169),IF(F169&lt;3,(3-F169)*E169*VLOOKUP(B169,Parametros!$A$5:$D$15,4,0)*100+ROW()/100000,0),IF(F169="",0,0))</f>
        <v>0</v>
      </c>
    </row>
    <row r="170" spans="1:11" ht="54" customHeight="1">
      <c r="A170" s="9" t="s">
        <v>859</v>
      </c>
      <c r="B170" s="9" t="s">
        <v>99</v>
      </c>
      <c r="C170" s="4" t="s">
        <v>852</v>
      </c>
      <c r="D170" s="4" t="s">
        <v>1389</v>
      </c>
      <c r="E170" s="19">
        <f>INDEX(Rubricas!$M$4:$M$112,MATCH(A170,Rubricas!$A$4:$A$112,0))</f>
        <v>2</v>
      </c>
      <c r="F170" s="22"/>
      <c r="G170" s="17"/>
      <c r="H170" s="9">
        <f>IF(ISNUMBER(F170),F170*E170,0)</f>
        <v>0</v>
      </c>
      <c r="I170" s="9">
        <f>IF(F170="N/A",0,3*E170)</f>
        <v>6</v>
      </c>
      <c r="J170" s="4" t="str">
        <f>IF(F170="","",IF(F170="N/A","⚠ Este criterio no admite N/A: calificar de 0 a 3.",IF(F170&lt;=1,INDEX(Rubricas!$O$4:$O$112,MATCH(A170,Rubricas!$A$4:$A$112,0)),IF(F170=2,"Por completar o validar – "&amp;INDEX(Rubricas!$F$4:$F$112,MATCH(A170,Rubricas!$A$4:$A$112,0)),""))))</f>
        <v/>
      </c>
      <c r="K170" s="23">
        <f>IF(ISNUMBER(F170),IF(F170&lt;3,(3-F170)*E170*VLOOKUP(B170,Parametros!$A$5:$D$15,4,0)*100+ROW()/100000,0),IF(F170="",0,0))</f>
        <v>0</v>
      </c>
    </row>
    <row r="171" spans="1:11" ht="54" customHeight="1">
      <c r="A171" s="9" t="s">
        <v>867</v>
      </c>
      <c r="B171" s="9" t="s">
        <v>99</v>
      </c>
      <c r="C171" s="4" t="s">
        <v>447</v>
      </c>
      <c r="D171" s="4" t="s">
        <v>1390</v>
      </c>
      <c r="E171" s="19">
        <f>INDEX(Rubricas!$M$4:$M$112,MATCH(A171,Rubricas!$A$4:$A$112,0))</f>
        <v>2</v>
      </c>
      <c r="F171" s="22"/>
      <c r="G171" s="17"/>
      <c r="H171" s="9">
        <f>IF(ISNUMBER(F171),F171*E171,0)</f>
        <v>0</v>
      </c>
      <c r="I171" s="9">
        <f>IF(F171="N/A",0,3*E171)</f>
        <v>6</v>
      </c>
      <c r="J171" s="4" t="str">
        <f>IF(F171="","",IF(F171="N/A","⚠ Este criterio no admite N/A: calificar de 0 a 3.",IF(F171&lt;=1,INDEX(Rubricas!$O$4:$O$112,MATCH(A171,Rubricas!$A$4:$A$112,0)),IF(F171=2,"Por completar o validar – "&amp;INDEX(Rubricas!$F$4:$F$112,MATCH(A171,Rubricas!$A$4:$A$112,0)),""))))</f>
        <v/>
      </c>
      <c r="K171" s="23">
        <f>IF(ISNUMBER(F171),IF(F171&lt;3,(3-F171)*E171*VLOOKUP(B171,Parametros!$A$5:$D$15,4,0)*100+ROW()/100000,0),IF(F171="",0,0))</f>
        <v>0</v>
      </c>
    </row>
    <row r="172" spans="1:11" ht="54" customHeight="1">
      <c r="A172" s="9" t="s">
        <v>874</v>
      </c>
      <c r="B172" s="9" t="s">
        <v>99</v>
      </c>
      <c r="C172" s="4" t="s">
        <v>875</v>
      </c>
      <c r="D172" s="4" t="s">
        <v>1391</v>
      </c>
      <c r="E172" s="19">
        <f>INDEX(Rubricas!$M$4:$M$112,MATCH(A172,Rubricas!$A$4:$A$112,0))</f>
        <v>3</v>
      </c>
      <c r="F172" s="22"/>
      <c r="G172" s="17"/>
      <c r="H172" s="9">
        <f>IF(ISNUMBER(F172),F172*E172,0)</f>
        <v>0</v>
      </c>
      <c r="I172" s="9">
        <f>IF(F172="N/A",0,3*E172)</f>
        <v>9</v>
      </c>
      <c r="J172" s="4" t="str">
        <f>IF(F172="","",IF(F172="N/A","⚠ Este criterio no admite N/A: calificar de 0 a 3.",IF(F172&lt;=1,INDEX(Rubricas!$O$4:$O$112,MATCH(A172,Rubricas!$A$4:$A$112,0)),IF(F172=2,"Por completar o validar – "&amp;INDEX(Rubricas!$F$4:$F$112,MATCH(A172,Rubricas!$A$4:$A$112,0)),""))))</f>
        <v/>
      </c>
      <c r="K172" s="23">
        <f>IF(ISNUMBER(F172),IF(F172&lt;3,(3-F172)*E172*VLOOKUP(B172,Parametros!$A$5:$D$15,4,0)*100+ROW()/100000,0),IF(F172="",0,0))</f>
        <v>0</v>
      </c>
    </row>
    <row r="173" spans="1:11" ht="54" customHeight="1">
      <c r="A173" s="9" t="s">
        <v>883</v>
      </c>
      <c r="B173" s="9" t="s">
        <v>99</v>
      </c>
      <c r="C173" s="4" t="s">
        <v>884</v>
      </c>
      <c r="D173" s="4" t="s">
        <v>1392</v>
      </c>
      <c r="E173" s="19">
        <f>INDEX(Rubricas!$M$4:$M$112,MATCH(A173,Rubricas!$A$4:$A$112,0))</f>
        <v>2</v>
      </c>
      <c r="F173" s="22"/>
      <c r="G173" s="17"/>
      <c r="H173" s="9">
        <f>IF(ISNUMBER(F173),F173*E173,0)</f>
        <v>0</v>
      </c>
      <c r="I173" s="9">
        <f>IF(F173="N/A",0,3*E173)</f>
        <v>6</v>
      </c>
      <c r="J173" s="4" t="str">
        <f>IF(F173="","",IF(F173="N/A","⚠ Este criterio no admite N/A: calificar de 0 a 3.",IF(F173&lt;=1,INDEX(Rubricas!$O$4:$O$112,MATCH(A173,Rubricas!$A$4:$A$112,0)),IF(F173=2,"Por completar o validar – "&amp;INDEX(Rubricas!$F$4:$F$112,MATCH(A173,Rubricas!$A$4:$A$112,0)),""))))</f>
        <v/>
      </c>
      <c r="K173" s="23">
        <f>IF(ISNUMBER(F173),IF(F173&lt;3,(3-F173)*E173*VLOOKUP(B173,Parametros!$A$5:$D$15,4,0)*100+ROW()/100000,0),IF(F173="",0,0))</f>
        <v>0</v>
      </c>
    </row>
    <row r="174" spans="1:11" ht="54" customHeight="1">
      <c r="A174" s="9" t="s">
        <v>892</v>
      </c>
      <c r="B174" s="9" t="s">
        <v>99</v>
      </c>
      <c r="C174" s="4" t="s">
        <v>884</v>
      </c>
      <c r="D174" s="4" t="s">
        <v>1393</v>
      </c>
      <c r="E174" s="19">
        <f>INDEX(Rubricas!$M$4:$M$112,MATCH(A174,Rubricas!$A$4:$A$112,0))</f>
        <v>1</v>
      </c>
      <c r="F174" s="22"/>
      <c r="G174" s="17"/>
      <c r="H174" s="9">
        <f>IF(ISNUMBER(F174),F174*E174,0)</f>
        <v>0</v>
      </c>
      <c r="I174" s="9">
        <f>IF(F174="N/A",0,3*E174)</f>
        <v>3</v>
      </c>
      <c r="J174" s="4" t="str">
        <f>IF(F174="","",IF(F174="N/A","⚠ Este criterio no admite N/A: calificar de 0 a 3.",IF(F174&lt;=1,INDEX(Rubricas!$O$4:$O$112,MATCH(A174,Rubricas!$A$4:$A$112,0)),IF(F174=2,"Por completar o validar – "&amp;INDEX(Rubricas!$F$4:$F$112,MATCH(A174,Rubricas!$A$4:$A$112,0)),""))))</f>
        <v/>
      </c>
      <c r="K174" s="23">
        <f>IF(ISNUMBER(F174),IF(F174&lt;3,(3-F174)*E174*VLOOKUP(B174,Parametros!$A$5:$D$15,4,0)*100+ROW()/100000,0),IF(F174="",0,0))</f>
        <v>0</v>
      </c>
    </row>
    <row r="175" spans="1:11" ht="54" customHeight="1">
      <c r="A175" s="9" t="s">
        <v>901</v>
      </c>
      <c r="B175" s="9" t="s">
        <v>99</v>
      </c>
      <c r="C175" s="4" t="s">
        <v>884</v>
      </c>
      <c r="D175" s="4" t="s">
        <v>1394</v>
      </c>
      <c r="E175" s="19">
        <f>INDEX(Rubricas!$M$4:$M$112,MATCH(A175,Rubricas!$A$4:$A$112,0))</f>
        <v>2</v>
      </c>
      <c r="F175" s="22"/>
      <c r="G175" s="17"/>
      <c r="H175" s="9">
        <f>IF(ISNUMBER(F175),F175*E175,0)</f>
        <v>0</v>
      </c>
      <c r="I175" s="9">
        <f>IF(F175="N/A",0,3*E175)</f>
        <v>6</v>
      </c>
      <c r="J175" s="4" t="str">
        <f>IF(F175="","",IF(F175="N/A","⚠ Este criterio no admite N/A: calificar de 0 a 3.",IF(F175&lt;=1,INDEX(Rubricas!$O$4:$O$112,MATCH(A175,Rubricas!$A$4:$A$112,0)),IF(F175=2,"Por completar o validar – "&amp;INDEX(Rubricas!$F$4:$F$112,MATCH(A175,Rubricas!$A$4:$A$112,0)),""))))</f>
        <v/>
      </c>
      <c r="K175" s="23">
        <f>IF(ISNUMBER(F175),IF(F175&lt;3,(3-F175)*E175*VLOOKUP(B175,Parametros!$A$5:$D$15,4,0)*100+ROW()/100000,0),IF(F175="",0,0))</f>
        <v>0</v>
      </c>
    </row>
    <row r="176" spans="1:11">
      <c r="A176" s="29" t="str">
        <f>"D9 · Contexto de ejecución — Complementaria · peso "&amp;TEXT(Parametros!$D$13,"0%")&amp;" · 8 criterios"</f>
        <v>D9 · Contexto de ejecución — Complementaria · peso 5% · 8 criterios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</row>
    <row r="177" spans="1:11" ht="54" customHeight="1">
      <c r="A177" s="9" t="s">
        <v>909</v>
      </c>
      <c r="B177" s="9" t="s">
        <v>106</v>
      </c>
      <c r="C177" s="4" t="s">
        <v>910</v>
      </c>
      <c r="D177" s="4" t="s">
        <v>1395</v>
      </c>
      <c r="E177" s="19">
        <f>INDEX(Rubricas!$M$4:$M$112,MATCH(A177,Rubricas!$A$4:$A$112,0))</f>
        <v>3</v>
      </c>
      <c r="F177" s="22"/>
      <c r="G177" s="17"/>
      <c r="H177" s="9">
        <f>IF(ISNUMBER(F177),F177*E177,0)</f>
        <v>0</v>
      </c>
      <c r="I177" s="9">
        <f>IF(F177="N/A",0,3*E177)</f>
        <v>9</v>
      </c>
      <c r="J177" s="4" t="str">
        <f>IF(F177="","",IF(F177="N/A","⚠ Este criterio no admite N/A: calificar de 0 a 3.",IF(F177&lt;=1,INDEX(Rubricas!$O$4:$O$112,MATCH(A177,Rubricas!$A$4:$A$112,0)),IF(F177=2,"Por completar o validar – "&amp;INDEX(Rubricas!$F$4:$F$112,MATCH(A177,Rubricas!$A$4:$A$112,0)),""))))</f>
        <v/>
      </c>
      <c r="K177" s="23">
        <f>IF(ISNUMBER(F177),IF(F177&lt;3,(3-F177)*E177*VLOOKUP(B177,Parametros!$A$5:$D$15,4,0)*100+ROW()/100000,0),IF(F177="",0,0))</f>
        <v>0</v>
      </c>
    </row>
    <row r="178" spans="1:11" ht="54" customHeight="1">
      <c r="A178" s="9" t="s">
        <v>918</v>
      </c>
      <c r="B178" s="9" t="s">
        <v>106</v>
      </c>
      <c r="C178" s="4" t="s">
        <v>910</v>
      </c>
      <c r="D178" s="4" t="s">
        <v>1396</v>
      </c>
      <c r="E178" s="19">
        <f>INDEX(Rubricas!$M$4:$M$112,MATCH(A178,Rubricas!$A$4:$A$112,0))</f>
        <v>3</v>
      </c>
      <c r="F178" s="22"/>
      <c r="G178" s="17"/>
      <c r="H178" s="9">
        <f>IF(ISNUMBER(F178),F178*E178,0)</f>
        <v>0</v>
      </c>
      <c r="I178" s="9">
        <f>IF(F178="N/A",0,3*E178)</f>
        <v>9</v>
      </c>
      <c r="J178" s="4" t="str">
        <f>IF(F178="","",IF(F178="N/A","⚠ Este criterio no admite N/A: calificar de 0 a 3.",IF(F178&lt;=1,INDEX(Rubricas!$O$4:$O$112,MATCH(A178,Rubricas!$A$4:$A$112,0)),IF(F178=2,"Por completar o validar – "&amp;INDEX(Rubricas!$F$4:$F$112,MATCH(A178,Rubricas!$A$4:$A$112,0)),""))))</f>
        <v/>
      </c>
      <c r="K178" s="23">
        <f>IF(ISNUMBER(F178),IF(F178&lt;3,(3-F178)*E178*VLOOKUP(B178,Parametros!$A$5:$D$15,4,0)*100+ROW()/100000,0),IF(F178="",0,0))</f>
        <v>0</v>
      </c>
    </row>
    <row r="179" spans="1:11" ht="54" customHeight="1">
      <c r="A179" s="9" t="s">
        <v>927</v>
      </c>
      <c r="B179" s="9" t="s">
        <v>106</v>
      </c>
      <c r="C179" s="4" t="s">
        <v>910</v>
      </c>
      <c r="D179" s="4" t="s">
        <v>1397</v>
      </c>
      <c r="E179" s="19">
        <f>INDEX(Rubricas!$M$4:$M$112,MATCH(A179,Rubricas!$A$4:$A$112,0))</f>
        <v>2</v>
      </c>
      <c r="F179" s="22"/>
      <c r="G179" s="17"/>
      <c r="H179" s="9">
        <f>IF(ISNUMBER(F179),F179*E179,0)</f>
        <v>0</v>
      </c>
      <c r="I179" s="9">
        <f>IF(F179="N/A",0,3*E179)</f>
        <v>6</v>
      </c>
      <c r="J179" s="4" t="str">
        <f>IF(F179="","",IF(F179="N/A","⚠ Este criterio no admite N/A: calificar de 0 a 3.",IF(F179&lt;=1,INDEX(Rubricas!$O$4:$O$112,MATCH(A179,Rubricas!$A$4:$A$112,0)),IF(F179=2,"Por completar o validar – "&amp;INDEX(Rubricas!$F$4:$F$112,MATCH(A179,Rubricas!$A$4:$A$112,0)),""))))</f>
        <v/>
      </c>
      <c r="K179" s="23">
        <f>IF(ISNUMBER(F179),IF(F179&lt;3,(3-F179)*E179*VLOOKUP(B179,Parametros!$A$5:$D$15,4,0)*100+ROW()/100000,0),IF(F179="",0,0))</f>
        <v>0</v>
      </c>
    </row>
    <row r="180" spans="1:11" ht="54" customHeight="1">
      <c r="A180" s="9" t="s">
        <v>935</v>
      </c>
      <c r="B180" s="9" t="s">
        <v>106</v>
      </c>
      <c r="C180" s="4" t="s">
        <v>936</v>
      </c>
      <c r="D180" s="4" t="s">
        <v>1398</v>
      </c>
      <c r="E180" s="19">
        <f>INDEX(Rubricas!$M$4:$M$112,MATCH(A180,Rubricas!$A$4:$A$112,0))</f>
        <v>2</v>
      </c>
      <c r="F180" s="22"/>
      <c r="G180" s="17"/>
      <c r="H180" s="9">
        <f>IF(ISNUMBER(F180),F180*E180,0)</f>
        <v>0</v>
      </c>
      <c r="I180" s="9">
        <f>IF(F180="N/A",0,3*E180)</f>
        <v>6</v>
      </c>
      <c r="J180" s="4" t="str">
        <f>IF(F180="","",IF(F180="N/A","⚠ Este criterio no admite N/A: calificar de 0 a 3.",IF(F180&lt;=1,INDEX(Rubricas!$O$4:$O$112,MATCH(A180,Rubricas!$A$4:$A$112,0)),IF(F180=2,"Por completar o validar – "&amp;INDEX(Rubricas!$F$4:$F$112,MATCH(A180,Rubricas!$A$4:$A$112,0)),""))))</f>
        <v/>
      </c>
      <c r="K180" s="23">
        <f>IF(ISNUMBER(F180),IF(F180&lt;3,(3-F180)*E180*VLOOKUP(B180,Parametros!$A$5:$D$15,4,0)*100+ROW()/100000,0),IF(F180="",0,0))</f>
        <v>0</v>
      </c>
    </row>
    <row r="181" spans="1:11" ht="54" customHeight="1">
      <c r="A181" s="9" t="s">
        <v>943</v>
      </c>
      <c r="B181" s="9" t="s">
        <v>106</v>
      </c>
      <c r="C181" s="4" t="s">
        <v>936</v>
      </c>
      <c r="D181" s="4" t="s">
        <v>1399</v>
      </c>
      <c r="E181" s="19">
        <f>INDEX(Rubricas!$M$4:$M$112,MATCH(A181,Rubricas!$A$4:$A$112,0))</f>
        <v>2</v>
      </c>
      <c r="F181" s="22"/>
      <c r="G181" s="17"/>
      <c r="H181" s="9">
        <f>IF(ISNUMBER(F181),F181*E181,0)</f>
        <v>0</v>
      </c>
      <c r="I181" s="9">
        <f>IF(F181="N/A",0,3*E181)</f>
        <v>6</v>
      </c>
      <c r="J181" s="4" t="str">
        <f>IF(F181="","",IF(F181="N/A","⚠ Este criterio no admite N/A: calificar de 0 a 3.",IF(F181&lt;=1,INDEX(Rubricas!$O$4:$O$112,MATCH(A181,Rubricas!$A$4:$A$112,0)),IF(F181=2,"Por completar o validar – "&amp;INDEX(Rubricas!$F$4:$F$112,MATCH(A181,Rubricas!$A$4:$A$112,0)),""))))</f>
        <v/>
      </c>
      <c r="K181" s="23">
        <f>IF(ISNUMBER(F181),IF(F181&lt;3,(3-F181)*E181*VLOOKUP(B181,Parametros!$A$5:$D$15,4,0)*100+ROW()/100000,0),IF(F181="",0,0))</f>
        <v>0</v>
      </c>
    </row>
    <row r="182" spans="1:11" ht="54" customHeight="1">
      <c r="A182" s="9" t="s">
        <v>951</v>
      </c>
      <c r="B182" s="9" t="s">
        <v>106</v>
      </c>
      <c r="C182" s="4" t="s">
        <v>952</v>
      </c>
      <c r="D182" s="4" t="s">
        <v>1400</v>
      </c>
      <c r="E182" s="19">
        <f>INDEX(Rubricas!$M$4:$M$112,MATCH(A182,Rubricas!$A$4:$A$112,0))</f>
        <v>1</v>
      </c>
      <c r="F182" s="22"/>
      <c r="G182" s="17"/>
      <c r="H182" s="9">
        <f>IF(ISNUMBER(F182),F182*E182,0)</f>
        <v>0</v>
      </c>
      <c r="I182" s="9">
        <f>IF(F182="N/A",0,3*E182)</f>
        <v>3</v>
      </c>
      <c r="J182" s="4" t="str">
        <f>IF(F182="","",IF(F182="N/A","",IF(F182&lt;=1,INDEX(Rubricas!$O$4:$O$112,MATCH(A182,Rubricas!$A$4:$A$112,0)),IF(F182=2,"Por completar o validar – "&amp;INDEX(Rubricas!$F$4:$F$112,MATCH(A182,Rubricas!$A$4:$A$112,0)),""))))</f>
        <v/>
      </c>
      <c r="K182" s="23">
        <f>IF(ISNUMBER(F182),IF(F182&lt;3,(3-F182)*E182*VLOOKUP(B182,Parametros!$A$5:$D$15,4,0)*100+ROW()/100000,0),IF(F182="",0,0))</f>
        <v>0</v>
      </c>
    </row>
    <row r="183" spans="1:11" ht="54" customHeight="1">
      <c r="A183" s="9" t="s">
        <v>960</v>
      </c>
      <c r="B183" s="9" t="s">
        <v>106</v>
      </c>
      <c r="C183" s="4" t="s">
        <v>936</v>
      </c>
      <c r="D183" s="4" t="s">
        <v>1401</v>
      </c>
      <c r="E183" s="19">
        <f>INDEX(Rubricas!$M$4:$M$112,MATCH(A183,Rubricas!$A$4:$A$112,0))</f>
        <v>1</v>
      </c>
      <c r="F183" s="22"/>
      <c r="G183" s="17"/>
      <c r="H183" s="9">
        <f>IF(ISNUMBER(F183),F183*E183,0)</f>
        <v>0</v>
      </c>
      <c r="I183" s="9">
        <f>IF(F183="N/A",0,3*E183)</f>
        <v>3</v>
      </c>
      <c r="J183" s="4" t="str">
        <f>IF(F183="","",IF(F183="N/A","⚠ Este criterio no admite N/A: calificar de 0 a 3.",IF(F183&lt;=1,INDEX(Rubricas!$O$4:$O$112,MATCH(A183,Rubricas!$A$4:$A$112,0)),IF(F183=2,"Por completar o validar – "&amp;INDEX(Rubricas!$F$4:$F$112,MATCH(A183,Rubricas!$A$4:$A$112,0)),""))))</f>
        <v/>
      </c>
      <c r="K183" s="23">
        <f>IF(ISNUMBER(F183),IF(F183&lt;3,(3-F183)*E183*VLOOKUP(B183,Parametros!$A$5:$D$15,4,0)*100+ROW()/100000,0),IF(F183="",0,0))</f>
        <v>0</v>
      </c>
    </row>
    <row r="184" spans="1:11" ht="54" customHeight="1">
      <c r="A184" s="9" t="s">
        <v>967</v>
      </c>
      <c r="B184" s="9" t="s">
        <v>106</v>
      </c>
      <c r="C184" s="4" t="s">
        <v>952</v>
      </c>
      <c r="D184" s="4" t="s">
        <v>1402</v>
      </c>
      <c r="E184" s="19">
        <f>INDEX(Rubricas!$M$4:$M$112,MATCH(A184,Rubricas!$A$4:$A$112,0))</f>
        <v>2</v>
      </c>
      <c r="F184" s="22"/>
      <c r="G184" s="17"/>
      <c r="H184" s="9">
        <f>IF(ISNUMBER(F184),F184*E184,0)</f>
        <v>0</v>
      </c>
      <c r="I184" s="9">
        <f>IF(F184="N/A",0,3*E184)</f>
        <v>6</v>
      </c>
      <c r="J184" s="4" t="str">
        <f>IF(F184="","",IF(F184="N/A","⚠ Este criterio no admite N/A: calificar de 0 a 3.",IF(F184&lt;=1,INDEX(Rubricas!$O$4:$O$112,MATCH(A184,Rubricas!$A$4:$A$112,0)),IF(F184=2,"Por completar o validar – "&amp;INDEX(Rubricas!$F$4:$F$112,MATCH(A184,Rubricas!$A$4:$A$112,0)),""))))</f>
        <v/>
      </c>
      <c r="K184" s="23">
        <f>IF(ISNUMBER(F184),IF(F184&lt;3,(3-F184)*E184*VLOOKUP(B184,Parametros!$A$5:$D$15,4,0)*100+ROW()/100000,0),IF(F184="",0,0))</f>
        <v>0</v>
      </c>
    </row>
    <row r="185" spans="1:11">
      <c r="A185" s="29" t="str">
        <f>"D10 · Sector / contexto de negocio — Complementaria · peso "&amp;TEXT(Parametros!$D$14,"0%")&amp;" · 6 criterios"</f>
        <v>D10 · Sector / contexto de negocio — Complementaria · peso 3% · 6 criterios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spans="1:11" ht="54" customHeight="1">
      <c r="A186" s="9" t="s">
        <v>974</v>
      </c>
      <c r="B186" s="9" t="s">
        <v>113</v>
      </c>
      <c r="C186" s="4" t="s">
        <v>975</v>
      </c>
      <c r="D186" s="4" t="s">
        <v>1403</v>
      </c>
      <c r="E186" s="19">
        <f>INDEX(Rubricas!$M$4:$M$112,MATCH(A186,Rubricas!$A$4:$A$112,0))</f>
        <v>1</v>
      </c>
      <c r="F186" s="22"/>
      <c r="G186" s="17"/>
      <c r="H186" s="9">
        <f>IF(ISNUMBER(F186),F186*E186,0)</f>
        <v>0</v>
      </c>
      <c r="I186" s="9">
        <f>IF(F186="N/A",0,3*E186)</f>
        <v>3</v>
      </c>
      <c r="J186" s="4" t="str">
        <f>IF(F186="","",IF(F186="N/A","⚠ Este criterio no admite N/A: calificar de 0 a 3.",IF(F186&lt;=1,INDEX(Rubricas!$O$4:$O$112,MATCH(A186,Rubricas!$A$4:$A$112,0)),IF(F186=2,"Por completar o validar – "&amp;INDEX(Rubricas!$F$4:$F$112,MATCH(A186,Rubricas!$A$4:$A$112,0)),""))))</f>
        <v/>
      </c>
      <c r="K186" s="23">
        <f>IF(ISNUMBER(F186),IF(F186&lt;3,(3-F186)*E186*VLOOKUP(B186,Parametros!$A$5:$D$15,4,0)*100+ROW()/100000,0),IF(F186="",0,0))</f>
        <v>0</v>
      </c>
    </row>
    <row r="187" spans="1:11" ht="54" customHeight="1">
      <c r="A187" s="9" t="s">
        <v>983</v>
      </c>
      <c r="B187" s="9" t="s">
        <v>113</v>
      </c>
      <c r="C187" s="4" t="s">
        <v>984</v>
      </c>
      <c r="D187" s="4" t="s">
        <v>1404</v>
      </c>
      <c r="E187" s="19">
        <f>INDEX(Rubricas!$M$4:$M$112,MATCH(A187,Rubricas!$A$4:$A$112,0))</f>
        <v>3</v>
      </c>
      <c r="F187" s="22"/>
      <c r="G187" s="17"/>
      <c r="H187" s="9">
        <f>IF(ISNUMBER(F187),F187*E187,0)</f>
        <v>0</v>
      </c>
      <c r="I187" s="9">
        <f>IF(F187="N/A",0,3*E187)</f>
        <v>9</v>
      </c>
      <c r="J187" s="4" t="str">
        <f>IF(F187="","",IF(F187="N/A","⚠ Este criterio no admite N/A: calificar de 0 a 3.",IF(F187&lt;=1,INDEX(Rubricas!$O$4:$O$112,MATCH(A187,Rubricas!$A$4:$A$112,0)),IF(F187=2,"Por completar o validar – "&amp;INDEX(Rubricas!$F$4:$F$112,MATCH(A187,Rubricas!$A$4:$A$112,0)),""))))</f>
        <v/>
      </c>
      <c r="K187" s="23">
        <f>IF(ISNUMBER(F187),IF(F187&lt;3,(3-F187)*E187*VLOOKUP(B187,Parametros!$A$5:$D$15,4,0)*100+ROW()/100000,0),IF(F187="",0,0))</f>
        <v>0</v>
      </c>
    </row>
    <row r="188" spans="1:11" ht="54" customHeight="1">
      <c r="A188" s="9" t="s">
        <v>992</v>
      </c>
      <c r="B188" s="9" t="s">
        <v>113</v>
      </c>
      <c r="C188" s="4" t="s">
        <v>993</v>
      </c>
      <c r="D188" s="4" t="s">
        <v>1405</v>
      </c>
      <c r="E188" s="19">
        <f>INDEX(Rubricas!$M$4:$M$112,MATCH(A188,Rubricas!$A$4:$A$112,0))</f>
        <v>2</v>
      </c>
      <c r="F188" s="22"/>
      <c r="G188" s="17"/>
      <c r="H188" s="9">
        <f>IF(ISNUMBER(F188),F188*E188,0)</f>
        <v>0</v>
      </c>
      <c r="I188" s="9">
        <f>IF(F188="N/A",0,3*E188)</f>
        <v>6</v>
      </c>
      <c r="J188" s="4" t="str">
        <f>IF(F188="","",IF(F188="N/A","⚠ Este criterio no admite N/A: calificar de 0 a 3.",IF(F188&lt;=1,INDEX(Rubricas!$O$4:$O$112,MATCH(A188,Rubricas!$A$4:$A$112,0)),IF(F188=2,"Por completar o validar – "&amp;INDEX(Rubricas!$F$4:$F$112,MATCH(A188,Rubricas!$A$4:$A$112,0)),""))))</f>
        <v/>
      </c>
      <c r="K188" s="23">
        <f>IF(ISNUMBER(F188),IF(F188&lt;3,(3-F188)*E188*VLOOKUP(B188,Parametros!$A$5:$D$15,4,0)*100+ROW()/100000,0),IF(F188="",0,0))</f>
        <v>0</v>
      </c>
    </row>
    <row r="189" spans="1:11" ht="54" customHeight="1">
      <c r="A189" s="9" t="s">
        <v>1000</v>
      </c>
      <c r="B189" s="9" t="s">
        <v>113</v>
      </c>
      <c r="C189" s="4" t="s">
        <v>993</v>
      </c>
      <c r="D189" s="4" t="s">
        <v>1406</v>
      </c>
      <c r="E189" s="19">
        <f>INDEX(Rubricas!$M$4:$M$112,MATCH(A189,Rubricas!$A$4:$A$112,0))</f>
        <v>2</v>
      </c>
      <c r="F189" s="22"/>
      <c r="G189" s="17"/>
      <c r="H189" s="9">
        <f>IF(ISNUMBER(F189),F189*E189,0)</f>
        <v>0</v>
      </c>
      <c r="I189" s="9">
        <f>IF(F189="N/A",0,3*E189)</f>
        <v>6</v>
      </c>
      <c r="J189" s="4" t="str">
        <f>IF(F189="","",IF(F189="N/A","⚠ Este criterio no admite N/A: calificar de 0 a 3.",IF(F189&lt;=1,INDEX(Rubricas!$O$4:$O$112,MATCH(A189,Rubricas!$A$4:$A$112,0)),IF(F189=2,"Por completar o validar – "&amp;INDEX(Rubricas!$F$4:$F$112,MATCH(A189,Rubricas!$A$4:$A$112,0)),""))))</f>
        <v/>
      </c>
      <c r="K189" s="23">
        <f>IF(ISNUMBER(F189),IF(F189&lt;3,(3-F189)*E189*VLOOKUP(B189,Parametros!$A$5:$D$15,4,0)*100+ROW()/100000,0),IF(F189="",0,0))</f>
        <v>0</v>
      </c>
    </row>
    <row r="190" spans="1:11" ht="54" customHeight="1">
      <c r="A190" s="9" t="s">
        <v>1007</v>
      </c>
      <c r="B190" s="9" t="s">
        <v>113</v>
      </c>
      <c r="C190" s="4" t="s">
        <v>993</v>
      </c>
      <c r="D190" s="4" t="s">
        <v>1407</v>
      </c>
      <c r="E190" s="19">
        <f>INDEX(Rubricas!$M$4:$M$112,MATCH(A190,Rubricas!$A$4:$A$112,0))</f>
        <v>2</v>
      </c>
      <c r="F190" s="22"/>
      <c r="G190" s="17"/>
      <c r="H190" s="9">
        <f>IF(ISNUMBER(F190),F190*E190,0)</f>
        <v>0</v>
      </c>
      <c r="I190" s="9">
        <f>IF(F190="N/A",0,3*E190)</f>
        <v>6</v>
      </c>
      <c r="J190" s="4" t="str">
        <f>IF(F190="","",IF(F190="N/A","⚠ Este criterio no admite N/A: calificar de 0 a 3.",IF(F190&lt;=1,INDEX(Rubricas!$O$4:$O$112,MATCH(A190,Rubricas!$A$4:$A$112,0)),IF(F190=2,"Por completar o validar – "&amp;INDEX(Rubricas!$F$4:$F$112,MATCH(A190,Rubricas!$A$4:$A$112,0)),""))))</f>
        <v/>
      </c>
      <c r="K190" s="23">
        <f>IF(ISNUMBER(F190),IF(F190&lt;3,(3-F190)*E190*VLOOKUP(B190,Parametros!$A$5:$D$15,4,0)*100+ROW()/100000,0),IF(F190="",0,0))</f>
        <v>0</v>
      </c>
    </row>
    <row r="191" spans="1:11" ht="54" customHeight="1">
      <c r="A191" s="9" t="s">
        <v>1014</v>
      </c>
      <c r="B191" s="9" t="s">
        <v>113</v>
      </c>
      <c r="C191" s="4" t="s">
        <v>984</v>
      </c>
      <c r="D191" s="4" t="s">
        <v>1408</v>
      </c>
      <c r="E191" s="19">
        <f>INDEX(Rubricas!$M$4:$M$112,MATCH(A191,Rubricas!$A$4:$A$112,0))</f>
        <v>1</v>
      </c>
      <c r="F191" s="22"/>
      <c r="G191" s="17"/>
      <c r="H191" s="9">
        <f>IF(ISNUMBER(F191),F191*E191,0)</f>
        <v>0</v>
      </c>
      <c r="I191" s="9">
        <f>IF(F191="N/A",0,3*E191)</f>
        <v>3</v>
      </c>
      <c r="J191" s="4" t="str">
        <f>IF(F191="","",IF(F191="N/A","⚠ Este criterio no admite N/A: calificar de 0 a 3.",IF(F191&lt;=1,INDEX(Rubricas!$O$4:$O$112,MATCH(A191,Rubricas!$A$4:$A$112,0)),IF(F191=2,"Por completar o validar – "&amp;INDEX(Rubricas!$F$4:$F$112,MATCH(A191,Rubricas!$A$4:$A$112,0)),""))))</f>
        <v/>
      </c>
      <c r="K191" s="23">
        <f>IF(ISNUMBER(F191),IF(F191&lt;3,(3-F191)*E191*VLOOKUP(B191,Parametros!$A$5:$D$15,4,0)*100+ROW()/100000,0),IF(F191="",0,0))</f>
        <v>0</v>
      </c>
    </row>
    <row r="192" spans="1:11">
      <c r="A192" s="29" t="str">
        <f>"D11 · Evidencia histórica disponible — Complementaria · peso "&amp;TEXT(Parametros!$D$15,"0%")&amp;" · 7 criterios"</f>
        <v>D11 · Evidencia histórica disponible — Complementaria · peso 5% · 7 criterios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</row>
    <row r="193" spans="1:11" ht="54" customHeight="1">
      <c r="A193" s="9" t="s">
        <v>1021</v>
      </c>
      <c r="B193" s="9" t="s">
        <v>120</v>
      </c>
      <c r="C193" s="4" t="s">
        <v>1022</v>
      </c>
      <c r="D193" s="4" t="s">
        <v>1409</v>
      </c>
      <c r="E193" s="19">
        <f>INDEX(Rubricas!$M$4:$M$112,MATCH(A193,Rubricas!$A$4:$A$112,0))</f>
        <v>3</v>
      </c>
      <c r="F193" s="22"/>
      <c r="G193" s="17"/>
      <c r="H193" s="9">
        <f>IF(ISNUMBER(F193),F193*E193,0)</f>
        <v>0</v>
      </c>
      <c r="I193" s="9">
        <f>IF(F193="N/A",0,3*E193)</f>
        <v>9</v>
      </c>
      <c r="J193" s="4" t="str">
        <f>IF(F193="","",IF(F193="N/A","⚠ Este criterio no admite N/A: calificar de 0 a 3.",IF(F193&lt;=1,INDEX(Rubricas!$O$4:$O$112,MATCH(A193,Rubricas!$A$4:$A$112,0)),IF(F193=2,"Por completar o validar – "&amp;INDEX(Rubricas!$F$4:$F$112,MATCH(A193,Rubricas!$A$4:$A$112,0)),""))))</f>
        <v/>
      </c>
      <c r="K193" s="23">
        <f>IF(ISNUMBER(F193),IF(F193&lt;3,(3-F193)*E193*VLOOKUP(B193,Parametros!$A$5:$D$15,4,0)*100+ROW()/100000,0),IF(F193="",0,0))</f>
        <v>0</v>
      </c>
    </row>
    <row r="194" spans="1:11" ht="54" customHeight="1">
      <c r="A194" s="9" t="s">
        <v>1031</v>
      </c>
      <c r="B194" s="9" t="s">
        <v>120</v>
      </c>
      <c r="C194" s="4" t="s">
        <v>1022</v>
      </c>
      <c r="D194" s="4" t="s">
        <v>1410</v>
      </c>
      <c r="E194" s="19">
        <f>INDEX(Rubricas!$M$4:$M$112,MATCH(A194,Rubricas!$A$4:$A$112,0))</f>
        <v>3</v>
      </c>
      <c r="F194" s="22"/>
      <c r="G194" s="17"/>
      <c r="H194" s="9">
        <f>IF(ISNUMBER(F194),F194*E194,0)</f>
        <v>0</v>
      </c>
      <c r="I194" s="9">
        <f>IF(F194="N/A",0,3*E194)</f>
        <v>9</v>
      </c>
      <c r="J194" s="4" t="str">
        <f>IF(F194="","",IF(F194="N/A","⚠ Este criterio no admite N/A: calificar de 0 a 3.",IF(F194&lt;=1,INDEX(Rubricas!$O$4:$O$112,MATCH(A194,Rubricas!$A$4:$A$112,0)),IF(F194=2,"Por completar o validar – "&amp;INDEX(Rubricas!$F$4:$F$112,MATCH(A194,Rubricas!$A$4:$A$112,0)),""))))</f>
        <v/>
      </c>
      <c r="K194" s="23">
        <f>IF(ISNUMBER(F194),IF(F194&lt;3,(3-F194)*E194*VLOOKUP(B194,Parametros!$A$5:$D$15,4,0)*100+ROW()/100000,0),IF(F194="",0,0))</f>
        <v>0</v>
      </c>
    </row>
    <row r="195" spans="1:11" ht="54" customHeight="1">
      <c r="A195" s="9" t="s">
        <v>1040</v>
      </c>
      <c r="B195" s="9" t="s">
        <v>120</v>
      </c>
      <c r="C195" s="4" t="s">
        <v>1041</v>
      </c>
      <c r="D195" s="4" t="s">
        <v>1411</v>
      </c>
      <c r="E195" s="19">
        <f>INDEX(Rubricas!$M$4:$M$112,MATCH(A195,Rubricas!$A$4:$A$112,0))</f>
        <v>3</v>
      </c>
      <c r="F195" s="22"/>
      <c r="G195" s="17"/>
      <c r="H195" s="9">
        <f>IF(ISNUMBER(F195),F195*E195,0)</f>
        <v>0</v>
      </c>
      <c r="I195" s="9">
        <f>IF(F195="N/A",0,3*E195)</f>
        <v>9</v>
      </c>
      <c r="J195" s="4" t="str">
        <f>IF(F195="","",IF(F195="N/A","⚠ Este criterio no admite N/A: calificar de 0 a 3.",IF(F195&lt;=1,INDEX(Rubricas!$O$4:$O$112,MATCH(A195,Rubricas!$A$4:$A$112,0)),IF(F195=2,"Por completar o validar – "&amp;INDEX(Rubricas!$F$4:$F$112,MATCH(A195,Rubricas!$A$4:$A$112,0)),""))))</f>
        <v/>
      </c>
      <c r="K195" s="23">
        <f>IF(ISNUMBER(F195),IF(F195&lt;3,(3-F195)*E195*VLOOKUP(B195,Parametros!$A$5:$D$15,4,0)*100+ROW()/100000,0),IF(F195="",0,0))</f>
        <v>0</v>
      </c>
    </row>
    <row r="196" spans="1:11" ht="54" customHeight="1">
      <c r="A196" s="9" t="s">
        <v>1050</v>
      </c>
      <c r="B196" s="9" t="s">
        <v>120</v>
      </c>
      <c r="C196" s="4" t="s">
        <v>1041</v>
      </c>
      <c r="D196" s="4" t="s">
        <v>1412</v>
      </c>
      <c r="E196" s="19">
        <f>INDEX(Rubricas!$M$4:$M$112,MATCH(A196,Rubricas!$A$4:$A$112,0))</f>
        <v>2</v>
      </c>
      <c r="F196" s="22"/>
      <c r="G196" s="17"/>
      <c r="H196" s="9">
        <f>IF(ISNUMBER(F196),F196*E196,0)</f>
        <v>0</v>
      </c>
      <c r="I196" s="9">
        <f>IF(F196="N/A",0,3*E196)</f>
        <v>6</v>
      </c>
      <c r="J196" s="4" t="str">
        <f>IF(F196="","",IF(F196="N/A","⚠ Este criterio no admite N/A: calificar de 0 a 3.",IF(F196&lt;=1,INDEX(Rubricas!$O$4:$O$112,MATCH(A196,Rubricas!$A$4:$A$112,0)),IF(F196=2,"Por completar o validar – "&amp;INDEX(Rubricas!$F$4:$F$112,MATCH(A196,Rubricas!$A$4:$A$112,0)),""))))</f>
        <v/>
      </c>
      <c r="K196" s="23">
        <f>IF(ISNUMBER(F196),IF(F196&lt;3,(3-F196)*E196*VLOOKUP(B196,Parametros!$A$5:$D$15,4,0)*100+ROW()/100000,0),IF(F196="",0,0))</f>
        <v>0</v>
      </c>
    </row>
    <row r="197" spans="1:11" ht="54" customHeight="1">
      <c r="A197" s="9" t="s">
        <v>1059</v>
      </c>
      <c r="B197" s="9" t="s">
        <v>120</v>
      </c>
      <c r="C197" s="4" t="s">
        <v>1060</v>
      </c>
      <c r="D197" s="4" t="s">
        <v>1413</v>
      </c>
      <c r="E197" s="19">
        <f>INDEX(Rubricas!$M$4:$M$112,MATCH(A197,Rubricas!$A$4:$A$112,0))</f>
        <v>2</v>
      </c>
      <c r="F197" s="22"/>
      <c r="G197" s="17"/>
      <c r="H197" s="9">
        <f>IF(ISNUMBER(F197),F197*E197,0)</f>
        <v>0</v>
      </c>
      <c r="I197" s="9">
        <f>IF(F197="N/A",0,3*E197)</f>
        <v>6</v>
      </c>
      <c r="J197" s="4" t="str">
        <f>IF(F197="","",IF(F197="N/A","⚠ Este criterio no admite N/A: calificar de 0 a 3.",IF(F197&lt;=1,INDEX(Rubricas!$O$4:$O$112,MATCH(A197,Rubricas!$A$4:$A$112,0)),IF(F197=2,"Por completar o validar – "&amp;INDEX(Rubricas!$F$4:$F$112,MATCH(A197,Rubricas!$A$4:$A$112,0)),""))))</f>
        <v/>
      </c>
      <c r="K197" s="23">
        <f>IF(ISNUMBER(F197),IF(F197&lt;3,(3-F197)*E197*VLOOKUP(B197,Parametros!$A$5:$D$15,4,0)*100+ROW()/100000,0),IF(F197="",0,0))</f>
        <v>0</v>
      </c>
    </row>
    <row r="198" spans="1:11" ht="54" customHeight="1">
      <c r="A198" s="9" t="s">
        <v>1069</v>
      </c>
      <c r="B198" s="9" t="s">
        <v>120</v>
      </c>
      <c r="C198" s="4" t="s">
        <v>1060</v>
      </c>
      <c r="D198" s="4" t="s">
        <v>1414</v>
      </c>
      <c r="E198" s="19">
        <f>INDEX(Rubricas!$M$4:$M$112,MATCH(A198,Rubricas!$A$4:$A$112,0))</f>
        <v>2</v>
      </c>
      <c r="F198" s="22"/>
      <c r="G198" s="17"/>
      <c r="H198" s="9">
        <f>IF(ISNUMBER(F198),F198*E198,0)</f>
        <v>0</v>
      </c>
      <c r="I198" s="9">
        <f>IF(F198="N/A",0,3*E198)</f>
        <v>6</v>
      </c>
      <c r="J198" s="4" t="str">
        <f>IF(F198="","",IF(F198="N/A","⚠ Este criterio no admite N/A: calificar de 0 a 3.",IF(F198&lt;=1,INDEX(Rubricas!$O$4:$O$112,MATCH(A198,Rubricas!$A$4:$A$112,0)),IF(F198=2,"Por completar o validar – "&amp;INDEX(Rubricas!$F$4:$F$112,MATCH(A198,Rubricas!$A$4:$A$112,0)),""))))</f>
        <v/>
      </c>
      <c r="K198" s="23">
        <f>IF(ISNUMBER(F198),IF(F198&lt;3,(3-F198)*E198*VLOOKUP(B198,Parametros!$A$5:$D$15,4,0)*100+ROW()/100000,0),IF(F198="",0,0))</f>
        <v>0</v>
      </c>
    </row>
    <row r="199" spans="1:11" ht="54" customHeight="1">
      <c r="A199" s="9" t="s">
        <v>1078</v>
      </c>
      <c r="B199" s="9" t="s">
        <v>120</v>
      </c>
      <c r="C199" s="4" t="s">
        <v>1022</v>
      </c>
      <c r="D199" s="4" t="s">
        <v>1415</v>
      </c>
      <c r="E199" s="19">
        <f>INDEX(Rubricas!$M$4:$M$112,MATCH(A199,Rubricas!$A$4:$A$112,0))</f>
        <v>1</v>
      </c>
      <c r="F199" s="22"/>
      <c r="G199" s="17"/>
      <c r="H199" s="9">
        <f>IF(ISNUMBER(F199),F199*E199,0)</f>
        <v>0</v>
      </c>
      <c r="I199" s="9">
        <f>IF(F199="N/A",0,3*E199)</f>
        <v>3</v>
      </c>
      <c r="J199" s="4" t="str">
        <f>IF(F199="","",IF(F199="N/A","⚠ Este criterio no admite N/A: calificar de 0 a 3.",IF(F199&lt;=1,INDEX(Rubricas!$O$4:$O$112,MATCH(A199,Rubricas!$A$4:$A$112,0)),IF(F199=2,"Por completar o validar – "&amp;INDEX(Rubricas!$F$4:$F$112,MATCH(A199,Rubricas!$A$4:$A$112,0)),""))))</f>
        <v/>
      </c>
      <c r="K199" s="23">
        <f>IF(ISNUMBER(F199),IF(F199&lt;3,(3-F199)*E199*VLOOKUP(B199,Parametros!$A$5:$D$15,4,0)*100+ROW()/100000,0),IF(F199="",0,0))</f>
        <v>0</v>
      </c>
    </row>
  </sheetData>
  <mergeCells count="143">
    <mergeCell ref="A1:K1"/>
    <mergeCell ref="A2:K2"/>
    <mergeCell ref="A4:C4"/>
    <mergeCell ref="A5:C5"/>
    <mergeCell ref="A6:C6"/>
    <mergeCell ref="A7:C7"/>
    <mergeCell ref="A8:C8"/>
    <mergeCell ref="A9:C9"/>
    <mergeCell ref="A10:C10"/>
    <mergeCell ref="A12:K12"/>
    <mergeCell ref="A13:C13"/>
    <mergeCell ref="E13:F13"/>
    <mergeCell ref="H13:K13"/>
    <mergeCell ref="A14:C17"/>
    <mergeCell ref="E14:F14"/>
    <mergeCell ref="H14:K17"/>
    <mergeCell ref="E15:F15"/>
    <mergeCell ref="E16:F16"/>
    <mergeCell ref="E17:F17"/>
    <mergeCell ref="A18:C20"/>
    <mergeCell ref="E18:F18"/>
    <mergeCell ref="H18:K20"/>
    <mergeCell ref="E19:F19"/>
    <mergeCell ref="E20:F20"/>
    <mergeCell ref="A21:C23"/>
    <mergeCell ref="E21:F21"/>
    <mergeCell ref="H21:K23"/>
    <mergeCell ref="E22:F22"/>
    <mergeCell ref="E23:F23"/>
    <mergeCell ref="A24:C28"/>
    <mergeCell ref="E24:F24"/>
    <mergeCell ref="H24:K28"/>
    <mergeCell ref="E25:F25"/>
    <mergeCell ref="E26:F26"/>
    <mergeCell ref="E27:F27"/>
    <mergeCell ref="E28:F28"/>
    <mergeCell ref="A29:C31"/>
    <mergeCell ref="E29:F29"/>
    <mergeCell ref="H29:K31"/>
    <mergeCell ref="E30:F30"/>
    <mergeCell ref="E31:F31"/>
    <mergeCell ref="A32:C32"/>
    <mergeCell ref="E32:F32"/>
    <mergeCell ref="H32:K32"/>
    <mergeCell ref="A33:C33"/>
    <mergeCell ref="E33:F33"/>
    <mergeCell ref="H33:K33"/>
    <mergeCell ref="A34:C34"/>
    <mergeCell ref="E34:F34"/>
    <mergeCell ref="H34:K34"/>
    <mergeCell ref="A35:C35"/>
    <mergeCell ref="E35:F35"/>
    <mergeCell ref="H35:K35"/>
    <mergeCell ref="A36:C36"/>
    <mergeCell ref="E36:F36"/>
    <mergeCell ref="H36:K36"/>
    <mergeCell ref="A37:C37"/>
    <mergeCell ref="E37:F37"/>
    <mergeCell ref="H37:K37"/>
    <mergeCell ref="A40:K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E53"/>
    <mergeCell ref="H53:J53"/>
    <mergeCell ref="A54:E54"/>
    <mergeCell ref="G54:J54"/>
    <mergeCell ref="A55:E55"/>
    <mergeCell ref="G55:J55"/>
    <mergeCell ref="A56:C56"/>
    <mergeCell ref="D56:J56"/>
    <mergeCell ref="A57:C57"/>
    <mergeCell ref="D57:J57"/>
    <mergeCell ref="A59:K59"/>
    <mergeCell ref="B60:D60"/>
    <mergeCell ref="E60:F60"/>
    <mergeCell ref="G60:K60"/>
    <mergeCell ref="B61:D61"/>
    <mergeCell ref="E61:F61"/>
    <mergeCell ref="G61:K61"/>
    <mergeCell ref="B62:D62"/>
    <mergeCell ref="E62:F62"/>
    <mergeCell ref="G62:K62"/>
    <mergeCell ref="B63:D63"/>
    <mergeCell ref="E63:F63"/>
    <mergeCell ref="G63:K63"/>
    <mergeCell ref="B64:D64"/>
    <mergeCell ref="E64:F64"/>
    <mergeCell ref="G64:K64"/>
    <mergeCell ref="B65:D65"/>
    <mergeCell ref="E65:F65"/>
    <mergeCell ref="G65:K65"/>
    <mergeCell ref="B66:D66"/>
    <mergeCell ref="E66:F66"/>
    <mergeCell ref="G66:K66"/>
    <mergeCell ref="B67:D67"/>
    <mergeCell ref="E67:F67"/>
    <mergeCell ref="G67:K67"/>
    <mergeCell ref="B68:D68"/>
    <mergeCell ref="E68:F68"/>
    <mergeCell ref="G68:K68"/>
    <mergeCell ref="B69:D69"/>
    <mergeCell ref="E69:F69"/>
    <mergeCell ref="G69:K69"/>
    <mergeCell ref="B70:D70"/>
    <mergeCell ref="E70:F70"/>
    <mergeCell ref="G70:K70"/>
    <mergeCell ref="B71:D71"/>
    <mergeCell ref="E71:F71"/>
    <mergeCell ref="G71:K71"/>
    <mergeCell ref="B72:D72"/>
    <mergeCell ref="E72:F72"/>
    <mergeCell ref="G72:K72"/>
    <mergeCell ref="B73:D73"/>
    <mergeCell ref="E73:F73"/>
    <mergeCell ref="G73:K73"/>
    <mergeCell ref="B74:D74"/>
    <mergeCell ref="E74:F74"/>
    <mergeCell ref="G74:K74"/>
    <mergeCell ref="B75:D75"/>
    <mergeCell ref="E75:F75"/>
    <mergeCell ref="G75:K75"/>
    <mergeCell ref="A78:K78"/>
    <mergeCell ref="A80:K80"/>
    <mergeCell ref="A93:K93"/>
    <mergeCell ref="A106:K106"/>
    <mergeCell ref="A121:K121"/>
    <mergeCell ref="A134:K134"/>
    <mergeCell ref="A148:K148"/>
    <mergeCell ref="A156:K156"/>
    <mergeCell ref="A164:K164"/>
    <mergeCell ref="A176:K176"/>
    <mergeCell ref="A185:K185"/>
    <mergeCell ref="A192:K192"/>
  </mergeCells>
  <conditionalFormatting sqref="F80:F240">
    <cfRule type="expression" dxfId="17" priority="2">
      <formula>AND(ISNUMBER(F80),F80=0)</formula>
    </cfRule>
    <cfRule type="expression" dxfId="16" priority="3">
      <formula>AND(ISNUMBER(F80),F80=1)</formula>
    </cfRule>
    <cfRule type="expression" dxfId="15" priority="4">
      <formula>AND(ISNUMBER(F80),F80=2)</formula>
    </cfRule>
    <cfRule type="expression" dxfId="14" priority="5">
      <formula>AND(ISNUMBER(F80),F80=3)</formula>
    </cfRule>
    <cfRule type="expression" dxfId="13" priority="6">
      <formula>F80="N/A"</formula>
    </cfRule>
  </conditionalFormatting>
  <conditionalFormatting sqref="J80:J240">
    <cfRule type="expression" dxfId="12" priority="7">
      <formula>LEFT(J80,1)="⚠"</formula>
    </cfRule>
  </conditionalFormatting>
  <conditionalFormatting sqref="F42:F53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61:E75">
    <cfRule type="expression" dxfId="11" priority="9">
      <formula>E61="⚠ Revisar"</formula>
    </cfRule>
    <cfRule type="expression" dxfId="10" priority="10">
      <formula>E61="OK"</formula>
    </cfRule>
  </conditionalFormatting>
  <dataValidations count="4">
    <dataValidation type="list" allowBlank="1" showErrorMessage="1" errorTitle="Puntaje no válido" error="Use 0, 1, 2, 3 o N/A." sqref="F80:F240" xr:uid="{00000000-0002-0000-0400-000000000000}">
      <formula1>"0,1,2,3,N/A"</formula1>
      <formula2>0</formula2>
    </dataValidation>
    <dataValidation type="list" allowBlank="1" sqref="E24:E28" xr:uid="{00000000-0002-0000-0400-000007000000}">
      <formula1>"0,1,2"</formula1>
      <formula2>0</formula2>
    </dataValidation>
    <dataValidation type="decimal" allowBlank="1" showErrorMessage="1" error="Ingrese un porcentaje entre 0% y 100%." sqref="E14:E17 E20 E32" xr:uid="{00000000-0002-0000-0400-000008000000}">
      <formula1>0</formula1>
      <formula2>1</formula2>
    </dataValidation>
    <dataValidation type="whole" operator="greaterThanOrEqual" allowBlank="1" sqref="E21 E23 E29 E37" xr:uid="{00000000-0002-0000-0400-000009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400-000001000000}">
          <x14:formula1>
            <xm:f>Parametros!$H$4:$H$9</xm:f>
          </x14:formula1>
          <x14:formula2>
            <xm:f>0</xm:f>
          </x14:formula2>
          <xm:sqref>E18</xm:sqref>
        </x14:dataValidation>
        <x14:dataValidation type="list" allowBlank="1" xr:uid="{00000000-0002-0000-0400-000002000000}">
          <x14:formula1>
            <xm:f>Parametros!$M$4:$M$5</xm:f>
          </x14:formula1>
          <x14:formula2>
            <xm:f>0</xm:f>
          </x14:formula2>
          <xm:sqref>E30:E31</xm:sqref>
        </x14:dataValidation>
        <x14:dataValidation type="list" allowBlank="1" xr:uid="{00000000-0002-0000-0400-000004000000}">
          <x14:formula1>
            <xm:f>Parametros!$J$4:$J$7</xm:f>
          </x14:formula1>
          <x14:formula2>
            <xm:f>0</xm:f>
          </x14:formula2>
          <xm:sqref>E33</xm:sqref>
        </x14:dataValidation>
        <x14:dataValidation type="list" allowBlank="1" xr:uid="{00000000-0002-0000-0400-000005000000}">
          <x14:formula1>
            <xm:f>Parametros!$K$4:$K$6</xm:f>
          </x14:formula1>
          <x14:formula2>
            <xm:f>0</xm:f>
          </x14:formula2>
          <xm:sqref>E35</xm:sqref>
        </x14:dataValidation>
        <x14:dataValidation type="list" allowBlank="1" xr:uid="{00000000-0002-0000-0400-000006000000}">
          <x14:formula1>
            <xm:f>Parametros!$L$4:$L$9</xm:f>
          </x14:formula1>
          <x14:formula2>
            <xm:f>0</xm:f>
          </x14:formula2>
          <xm:sqref>E36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9"/>
  <sheetViews>
    <sheetView zoomScale="90" zoomScaleNormal="9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8" customWidth="1"/>
    <col min="2" max="2" width="7" customWidth="1"/>
    <col min="3" max="3" width="22" customWidth="1"/>
    <col min="4" max="4" width="58" customWidth="1"/>
    <col min="5" max="5" width="8" customWidth="1"/>
    <col min="6" max="6" width="10" customWidth="1"/>
    <col min="7" max="7" width="42" customWidth="1"/>
    <col min="8" max="9" width="9" customWidth="1"/>
    <col min="10" max="10" width="55" customWidth="1"/>
    <col min="11" max="11" width="12" customWidth="1"/>
  </cols>
  <sheetData>
    <row r="1" spans="1:11" ht="27.75" customHeight="1">
      <c r="A1" s="47" t="s">
        <v>1416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30" customHeight="1">
      <c r="A2" s="48" t="s">
        <v>1195</v>
      </c>
      <c r="B2" s="48"/>
      <c r="C2" s="48"/>
      <c r="D2" s="48"/>
      <c r="E2" s="48"/>
      <c r="F2" s="48"/>
      <c r="G2" s="48"/>
      <c r="H2" s="48"/>
      <c r="I2" s="48"/>
      <c r="J2" s="48"/>
      <c r="K2" s="48"/>
    </row>
    <row r="4" spans="1:11" ht="15" customHeight="1">
      <c r="A4" s="33" t="s">
        <v>1196</v>
      </c>
      <c r="B4" s="33"/>
      <c r="C4" s="33"/>
      <c r="D4" s="17" t="s">
        <v>1417</v>
      </c>
    </row>
    <row r="5" spans="1:11" ht="15" customHeight="1">
      <c r="A5" s="33" t="s">
        <v>1197</v>
      </c>
      <c r="B5" s="33"/>
      <c r="C5" s="33"/>
      <c r="D5" s="17" t="s">
        <v>1418</v>
      </c>
    </row>
    <row r="6" spans="1:11" ht="15" customHeight="1">
      <c r="A6" s="33" t="s">
        <v>1198</v>
      </c>
      <c r="B6" s="33"/>
      <c r="C6" s="33"/>
      <c r="D6" s="17" t="s">
        <v>1419</v>
      </c>
    </row>
    <row r="7" spans="1:11" ht="15" customHeight="1">
      <c r="A7" s="33" t="s">
        <v>1199</v>
      </c>
      <c r="B7" s="33"/>
      <c r="C7" s="33"/>
      <c r="D7" s="17" t="s">
        <v>1420</v>
      </c>
    </row>
    <row r="8" spans="1:11" ht="15" customHeight="1">
      <c r="A8" s="33" t="s">
        <v>1200</v>
      </c>
      <c r="B8" s="33"/>
      <c r="C8" s="33"/>
      <c r="D8" s="17" t="s">
        <v>1421</v>
      </c>
    </row>
    <row r="9" spans="1:11" ht="15" customHeight="1">
      <c r="A9" s="33" t="s">
        <v>1201</v>
      </c>
      <c r="B9" s="33"/>
      <c r="C9" s="33"/>
      <c r="D9" s="17" t="s">
        <v>1422</v>
      </c>
    </row>
    <row r="10" spans="1:11" ht="15" customHeight="1">
      <c r="A10" s="33" t="s">
        <v>1202</v>
      </c>
      <c r="B10" s="33"/>
      <c r="C10" s="33"/>
      <c r="D10" s="17" t="s">
        <v>1423</v>
      </c>
    </row>
    <row r="12" spans="1:11">
      <c r="A12" s="32" t="s">
        <v>1203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</row>
    <row r="13" spans="1:11" ht="15" customHeight="1">
      <c r="A13" s="34" t="s">
        <v>38</v>
      </c>
      <c r="B13" s="34"/>
      <c r="C13" s="34"/>
      <c r="D13" s="5" t="s">
        <v>1204</v>
      </c>
      <c r="E13" s="34" t="s">
        <v>1205</v>
      </c>
      <c r="F13" s="34"/>
      <c r="G13" s="5" t="s">
        <v>1206</v>
      </c>
      <c r="H13" s="34" t="s">
        <v>1207</v>
      </c>
      <c r="I13" s="34"/>
      <c r="J13" s="34"/>
      <c r="K13" s="34"/>
    </row>
    <row r="14" spans="1:11" ht="15" customHeight="1">
      <c r="A14" s="45" t="s">
        <v>1208</v>
      </c>
      <c r="B14" s="45"/>
      <c r="C14" s="45"/>
      <c r="D14" s="4" t="s">
        <v>1209</v>
      </c>
      <c r="E14" s="43">
        <v>0.75</v>
      </c>
      <c r="F14" s="43"/>
      <c r="G14" s="10" t="str">
        <f>IF(SUM(E14:E17)=0,"Sin datos",INDEX(Parametros!$I$4:$I$7,MATCH(MAX(E14:E17),E14:E17,0)))</f>
        <v>Nuevo desarrollo</v>
      </c>
      <c r="H14" s="41" t="s">
        <v>1210</v>
      </c>
      <c r="I14" s="41"/>
      <c r="J14" s="41"/>
      <c r="K14" s="41"/>
    </row>
    <row r="15" spans="1:11">
      <c r="A15" s="45"/>
      <c r="B15" s="45"/>
      <c r="C15" s="45"/>
      <c r="D15" s="4" t="s">
        <v>1211</v>
      </c>
      <c r="E15" s="43">
        <v>0.25</v>
      </c>
      <c r="F15" s="43"/>
      <c r="G15" s="10" t="str">
        <f>IF(COUNT(E14:E17)=0,"",IF(ABS(SUM(E14:E17)-1)&lt;0.001,"Composición suma 100%","⚠ La composición no suma 100%"))</f>
        <v>Composición suma 100%</v>
      </c>
      <c r="H15" s="41"/>
      <c r="I15" s="41"/>
      <c r="J15" s="41"/>
      <c r="K15" s="41"/>
    </row>
    <row r="16" spans="1:11">
      <c r="A16" s="45"/>
      <c r="B16" s="45"/>
      <c r="C16" s="45"/>
      <c r="D16" s="4" t="s">
        <v>1212</v>
      </c>
      <c r="E16" s="43">
        <v>0</v>
      </c>
      <c r="F16" s="43"/>
      <c r="G16" s="10"/>
      <c r="H16" s="41"/>
      <c r="I16" s="41"/>
      <c r="J16" s="41"/>
      <c r="K16" s="41"/>
    </row>
    <row r="17" spans="1:11">
      <c r="A17" s="45"/>
      <c r="B17" s="45"/>
      <c r="C17" s="45"/>
      <c r="D17" s="4" t="s">
        <v>1213</v>
      </c>
      <c r="E17" s="43">
        <v>0</v>
      </c>
      <c r="F17" s="43"/>
      <c r="G17" s="10"/>
      <c r="H17" s="41"/>
      <c r="I17" s="41"/>
      <c r="J17" s="41"/>
      <c r="K17" s="41"/>
    </row>
    <row r="18" spans="1:11" ht="23.85" customHeight="1">
      <c r="A18" s="45" t="s">
        <v>1214</v>
      </c>
      <c r="B18" s="45"/>
      <c r="C18" s="45"/>
      <c r="D18" s="4" t="s">
        <v>1215</v>
      </c>
      <c r="E18" s="40" t="s">
        <v>1095</v>
      </c>
      <c r="F18" s="40"/>
      <c r="G18" s="10" t="str">
        <f>IF(E18="","Sin asignar",E18)</f>
        <v>Aplicaciones y soluciones digitales</v>
      </c>
      <c r="H18" s="41" t="s">
        <v>1216</v>
      </c>
      <c r="I18" s="41"/>
      <c r="J18" s="41"/>
      <c r="K18" s="41"/>
    </row>
    <row r="19" spans="1:11" ht="46.35" customHeight="1">
      <c r="A19" s="45"/>
      <c r="B19" s="45"/>
      <c r="C19" s="45"/>
      <c r="D19" s="4" t="s">
        <v>1217</v>
      </c>
      <c r="E19" s="40" t="s">
        <v>1424</v>
      </c>
      <c r="F19" s="40"/>
      <c r="G19" s="10"/>
      <c r="H19" s="41"/>
      <c r="I19" s="41"/>
      <c r="J19" s="41"/>
      <c r="K19" s="41"/>
    </row>
    <row r="20" spans="1:11">
      <c r="A20" s="45"/>
      <c r="B20" s="45"/>
      <c r="C20" s="45"/>
      <c r="D20" s="4" t="s">
        <v>1218</v>
      </c>
      <c r="E20" s="43">
        <v>0.6</v>
      </c>
      <c r="F20" s="43"/>
      <c r="G20" s="10" t="str">
        <f>IF(E20="","",IF(E20&gt;=0.5,"Predominio claro","Predominio débil: revisar secundarios"))</f>
        <v>Predominio claro</v>
      </c>
      <c r="H20" s="41"/>
      <c r="I20" s="41"/>
      <c r="J20" s="41"/>
      <c r="K20" s="41"/>
    </row>
    <row r="21" spans="1:11" ht="15" customHeight="1">
      <c r="A21" s="45" t="s">
        <v>1219</v>
      </c>
      <c r="B21" s="45"/>
      <c r="C21" s="45"/>
      <c r="D21" s="4" t="s">
        <v>1220</v>
      </c>
      <c r="E21" s="42">
        <v>34</v>
      </c>
      <c r="F21" s="42"/>
      <c r="G21" s="10" t="str">
        <f>IF(N(E21)=0,"Sin datos","Clase "&amp;LOOKUP(E21,Parametros!$A$42:$A$46,Parametros!$B$42:$B$46))</f>
        <v>Clase L</v>
      </c>
      <c r="H21" s="41" t="s">
        <v>1221</v>
      </c>
      <c r="I21" s="41"/>
      <c r="J21" s="41"/>
      <c r="K21" s="41"/>
    </row>
    <row r="22" spans="1:11">
      <c r="A22" s="45"/>
      <c r="B22" s="45"/>
      <c r="C22" s="45"/>
      <c r="D22" s="4" t="s">
        <v>1222</v>
      </c>
      <c r="E22" s="46"/>
      <c r="F22" s="46"/>
      <c r="G22" s="10" t="str">
        <f>IF(N(E21)=0,"","≈ "&amp;TEXT(E21*IF(N(E22)=0,Parametros!$B$49,E22),"0")&amp;" PF (aproximación)")</f>
        <v>≈ 272 PF (aproximación)</v>
      </c>
      <c r="H22" s="41"/>
      <c r="I22" s="41"/>
      <c r="J22" s="41"/>
      <c r="K22" s="41"/>
    </row>
    <row r="23" spans="1:11">
      <c r="A23" s="45"/>
      <c r="B23" s="45"/>
      <c r="C23" s="45"/>
      <c r="D23" s="4" t="s">
        <v>1223</v>
      </c>
      <c r="E23" s="42"/>
      <c r="F23" s="42"/>
      <c r="G23" s="10" t="str">
        <f>IF(N(E23)=0,"Sin medición detallada","Medido: "&amp;E23&amp;" PF")</f>
        <v>Sin medición detallada</v>
      </c>
      <c r="H23" s="41"/>
      <c r="I23" s="41"/>
      <c r="J23" s="41"/>
      <c r="K23" s="41"/>
    </row>
    <row r="24" spans="1:11" ht="15" customHeight="1">
      <c r="A24" s="45" t="s">
        <v>1224</v>
      </c>
      <c r="B24" s="45"/>
      <c r="C24" s="45"/>
      <c r="D24" s="4" t="s">
        <v>1225</v>
      </c>
      <c r="E24" s="42">
        <v>1</v>
      </c>
      <c r="F24" s="42"/>
      <c r="G24" s="10" t="str">
        <f>IF(COUNT(E24:E28)=0,"Sin datos","Puntaje "&amp;SUM(E24:E28)&amp;" / 10")</f>
        <v>Puntaje 7 / 10</v>
      </c>
      <c r="H24" s="41" t="s">
        <v>1226</v>
      </c>
      <c r="I24" s="41"/>
      <c r="J24" s="41"/>
      <c r="K24" s="41"/>
    </row>
    <row r="25" spans="1:11" ht="23.85">
      <c r="A25" s="45"/>
      <c r="B25" s="45"/>
      <c r="C25" s="45"/>
      <c r="D25" s="4" t="s">
        <v>1227</v>
      </c>
      <c r="E25" s="42">
        <v>1</v>
      </c>
      <c r="F25" s="42"/>
      <c r="G25" s="10" t="str">
        <f>IF(COUNT(E24:E28)=0,"","Complejidad "&amp;LOOKUP(SUM(E24:E28),Parametros!$A$53:$A$56,Parametros!$B$53:$B$56))</f>
        <v>Complejidad Alta</v>
      </c>
      <c r="H25" s="41"/>
      <c r="I25" s="41"/>
      <c r="J25" s="41"/>
      <c r="K25" s="41"/>
    </row>
    <row r="26" spans="1:11">
      <c r="A26" s="45"/>
      <c r="B26" s="45"/>
      <c r="C26" s="45"/>
      <c r="D26" s="4" t="s">
        <v>1228</v>
      </c>
      <c r="E26" s="42">
        <v>2</v>
      </c>
      <c r="F26" s="42"/>
      <c r="G26" s="10"/>
      <c r="H26" s="41"/>
      <c r="I26" s="41"/>
      <c r="J26" s="41"/>
      <c r="K26" s="41"/>
    </row>
    <row r="27" spans="1:11">
      <c r="A27" s="45"/>
      <c r="B27" s="45"/>
      <c r="C27" s="45"/>
      <c r="D27" s="4" t="s">
        <v>1229</v>
      </c>
      <c r="E27" s="42">
        <v>1</v>
      </c>
      <c r="F27" s="42"/>
      <c r="G27" s="10"/>
      <c r="H27" s="41"/>
      <c r="I27" s="41"/>
      <c r="J27" s="41"/>
      <c r="K27" s="41"/>
    </row>
    <row r="28" spans="1:11">
      <c r="A28" s="45"/>
      <c r="B28" s="45"/>
      <c r="C28" s="45"/>
      <c r="D28" s="4" t="s">
        <v>1230</v>
      </c>
      <c r="E28" s="42">
        <v>2</v>
      </c>
      <c r="F28" s="42"/>
      <c r="G28" s="10"/>
      <c r="H28" s="41"/>
      <c r="I28" s="41"/>
      <c r="J28" s="41"/>
      <c r="K28" s="41"/>
    </row>
    <row r="29" spans="1:11" ht="15" customHeight="1">
      <c r="A29" s="45" t="s">
        <v>1231</v>
      </c>
      <c r="B29" s="45"/>
      <c r="C29" s="45"/>
      <c r="D29" s="4" t="s">
        <v>1232</v>
      </c>
      <c r="E29" s="42">
        <v>4</v>
      </c>
      <c r="F29" s="42"/>
      <c r="G29" s="10" t="str">
        <f>IF(E29="","Sin datos",IF(E29=0,"I0 - Sin interfaces",IF(OR(E29&gt;5,E31="Sí"),"I3 - Alta",IF(OR(E29&gt;=3,E30="Sí"),"I2 - Media","I1 - Baja"))))</f>
        <v>I2 - Media</v>
      </c>
      <c r="H29" s="41" t="s">
        <v>1233</v>
      </c>
      <c r="I29" s="41"/>
      <c r="J29" s="41"/>
      <c r="K29" s="41"/>
    </row>
    <row r="30" spans="1:11" ht="15" customHeight="1">
      <c r="A30" s="45"/>
      <c r="B30" s="45"/>
      <c r="C30" s="45"/>
      <c r="D30" s="4" t="s">
        <v>1234</v>
      </c>
      <c r="E30" s="40" t="s">
        <v>172</v>
      </c>
      <c r="F30" s="40"/>
      <c r="G30" s="10"/>
      <c r="H30" s="41"/>
      <c r="I30" s="41"/>
      <c r="J30" s="41"/>
      <c r="K30" s="41"/>
    </row>
    <row r="31" spans="1:11" ht="15" customHeight="1">
      <c r="A31" s="45"/>
      <c r="B31" s="45"/>
      <c r="C31" s="45"/>
      <c r="D31" s="4" t="s">
        <v>1235</v>
      </c>
      <c r="E31" s="40" t="s">
        <v>151</v>
      </c>
      <c r="F31" s="40"/>
      <c r="G31" s="10"/>
      <c r="H31" s="41"/>
      <c r="I31" s="41"/>
      <c r="J31" s="41"/>
      <c r="K31" s="41"/>
    </row>
    <row r="32" spans="1:11" ht="15" customHeight="1">
      <c r="A32" s="39" t="s">
        <v>1236</v>
      </c>
      <c r="B32" s="39"/>
      <c r="C32" s="39"/>
      <c r="D32" s="4" t="s">
        <v>1237</v>
      </c>
      <c r="E32" s="43">
        <v>0.3</v>
      </c>
      <c r="F32" s="43"/>
      <c r="G32" s="10" t="str">
        <f>IF(E32="","Sin datos",IF(E32&gt;0.7,"R1 - Alta reutilización",IF(E32&gt;=0.4,"R2 - Media",IF(E32&gt;=0.1,"R3 - Baja","R4 - Nuevo"))))</f>
        <v>R3 - Baja</v>
      </c>
      <c r="H32" s="41" t="s">
        <v>1238</v>
      </c>
      <c r="I32" s="41"/>
      <c r="J32" s="41"/>
      <c r="K32" s="41"/>
    </row>
    <row r="33" spans="1:11" ht="23.85" customHeight="1">
      <c r="A33" s="39" t="s">
        <v>1239</v>
      </c>
      <c r="B33" s="39"/>
      <c r="C33" s="39"/>
      <c r="D33" s="4" t="s">
        <v>1240</v>
      </c>
      <c r="E33" s="40" t="s">
        <v>1103</v>
      </c>
      <c r="F33" s="40"/>
      <c r="G33" s="10" t="str">
        <f>IF(E33="","Sin datos",E33)</f>
        <v>T2 - Parcialmente conocida</v>
      </c>
      <c r="H33" s="41" t="s">
        <v>1241</v>
      </c>
      <c r="I33" s="41"/>
      <c r="J33" s="41"/>
      <c r="K33" s="41"/>
    </row>
    <row r="34" spans="1:11" ht="23.85" customHeight="1">
      <c r="A34" s="39" t="s">
        <v>1242</v>
      </c>
      <c r="B34" s="39"/>
      <c r="C34" s="39"/>
      <c r="D34" s="4" t="s">
        <v>1243</v>
      </c>
      <c r="E34" s="44">
        <f>COUNTIF(F165:F172,"&gt;=2")</f>
        <v>5</v>
      </c>
      <c r="F34" s="44"/>
      <c r="G34" s="10" t="str">
        <f>IF(COUNT(F165:F172)=0,"Sin datos",IF(E34&lt;=2,"M1 - Idea",IF(E34&lt;=4,"M2 - Preliminar",IF(E34&lt;=6,"M3 - Definido","M4 - Validado"))))</f>
        <v>M3 - Definido</v>
      </c>
      <c r="H34" s="41" t="s">
        <v>1244</v>
      </c>
      <c r="I34" s="41"/>
      <c r="J34" s="41"/>
      <c r="K34" s="41"/>
    </row>
    <row r="35" spans="1:11" ht="23.85" customHeight="1">
      <c r="A35" s="39" t="s">
        <v>1245</v>
      </c>
      <c r="B35" s="39"/>
      <c r="C35" s="39"/>
      <c r="D35" s="4" t="s">
        <v>1246</v>
      </c>
      <c r="E35" s="40" t="s">
        <v>1104</v>
      </c>
      <c r="F35" s="40"/>
      <c r="G35" s="10" t="str">
        <f>IF(E35="","Sin datos",E35)</f>
        <v>Parcialmente conocido</v>
      </c>
      <c r="H35" s="41" t="s">
        <v>110</v>
      </c>
      <c r="I35" s="41"/>
      <c r="J35" s="41"/>
      <c r="K35" s="41"/>
    </row>
    <row r="36" spans="1:11" ht="15" customHeight="1">
      <c r="A36" s="39" t="s">
        <v>1247</v>
      </c>
      <c r="B36" s="39"/>
      <c r="C36" s="39"/>
      <c r="D36" s="4" t="s">
        <v>1248</v>
      </c>
      <c r="E36" s="40" t="s">
        <v>1099</v>
      </c>
      <c r="F36" s="40"/>
      <c r="G36" s="10" t="str">
        <f>IF(E36="","Sin datos",E36)</f>
        <v>Gobierno</v>
      </c>
      <c r="H36" s="41" t="s">
        <v>117</v>
      </c>
      <c r="I36" s="41"/>
      <c r="J36" s="41"/>
      <c r="K36" s="41"/>
    </row>
    <row r="37" spans="1:11" ht="15" customHeight="1">
      <c r="A37" s="39" t="s">
        <v>1249</v>
      </c>
      <c r="B37" s="39"/>
      <c r="C37" s="39"/>
      <c r="D37" s="4" t="s">
        <v>1250</v>
      </c>
      <c r="E37" s="42">
        <v>3</v>
      </c>
      <c r="F37" s="42"/>
      <c r="G37" s="10" t="str">
        <f>IF(E37="","Sin datos",IF(E37&lt;=1,"E1 - Muy baja",IF(E37&lt;=3,"E2 - Baja",IF(E37&lt;=7,"E3 - Media","E4 - Alta"))))</f>
        <v>E2 - Baja</v>
      </c>
      <c r="H37" s="41" t="s">
        <v>124</v>
      </c>
      <c r="I37" s="41"/>
      <c r="J37" s="41"/>
      <c r="K37" s="41"/>
    </row>
    <row r="40" spans="1:11">
      <c r="A40" s="32" t="s">
        <v>1251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</row>
    <row r="41" spans="1:11" ht="46.35" customHeight="1">
      <c r="A41" s="34" t="s">
        <v>38</v>
      </c>
      <c r="B41" s="34"/>
      <c r="C41" s="34"/>
      <c r="D41" s="5" t="s">
        <v>1252</v>
      </c>
      <c r="E41" s="5" t="s">
        <v>40</v>
      </c>
      <c r="F41" s="5" t="s">
        <v>1253</v>
      </c>
      <c r="G41" s="5" t="s">
        <v>1147</v>
      </c>
      <c r="H41" s="5" t="s">
        <v>39</v>
      </c>
      <c r="I41" s="5" t="s">
        <v>1254</v>
      </c>
      <c r="J41" s="5" t="s">
        <v>1255</v>
      </c>
    </row>
    <row r="42" spans="1:11" ht="42" customHeight="1">
      <c r="A42" s="35" t="s">
        <v>1208</v>
      </c>
      <c r="B42" s="35"/>
      <c r="C42" s="35"/>
      <c r="D42" s="4" t="str">
        <f>IF(MAX(K81:K92)=0,"Sin brechas relevantes",INDEX(J81:J92,MATCH(MAX(K81:K92),K81:K92,0)))</f>
        <v>No se detalla qué cambia en las funcionalidades existentes. En evolutivos el tamaño es la suma de movimientos de datos agregados, modificados y eliminados; identificarlos.</v>
      </c>
      <c r="E42" s="8">
        <f>Parametros!D5</f>
        <v>0.12</v>
      </c>
      <c r="F42" s="18">
        <f>IF(SUMIF($B$80:$B$240,"D1",$I$80:$I$240)=0,0,SUMIF($B$80:$B$240,"D1",$H$80:$H$240)/SUMIF($B$80:$B$240,"D1",$I$80:$I$240))</f>
        <v>0.6</v>
      </c>
      <c r="G42" s="9" t="str">
        <f>IF(J42="No","No evaluada",INDEX(Parametros!$B$30:$B$34,MATCH(F42,Parametros!$A$30:$A$34,1)))</f>
        <v>N4 - Definido</v>
      </c>
      <c r="H42" s="19" t="str">
        <f>Parametros!C5</f>
        <v>Núcleo</v>
      </c>
      <c r="I42" s="20">
        <f>IF(J42="No",0,E42*F42/SUMPRODUCT($E$42:$E$52*($J$42:$J$52="Sí")))</f>
        <v>7.1999999999999981E-2</v>
      </c>
      <c r="J42" s="9" t="str">
        <f>"Sí"</f>
        <v>Sí</v>
      </c>
    </row>
    <row r="43" spans="1:11" ht="42" customHeight="1">
      <c r="A43" s="35" t="s">
        <v>1214</v>
      </c>
      <c r="B43" s="35"/>
      <c r="C43" s="35"/>
      <c r="D43" s="4" t="str">
        <f>IF(MAX(K94:K105)=0,"Sin brechas relevantes",INDEX(J94:J105,MATCH(MAX(K94:K105),K94:K105,0)))</f>
        <v>Los drivers de los arquetipos secundarios no están cuantificados.</v>
      </c>
      <c r="E43" s="8">
        <f>Parametros!D6</f>
        <v>0.11</v>
      </c>
      <c r="F43" s="18">
        <f>IF(SUMIF($B$80:$B$240,"D2",$I$80:$I$240)=0,0,SUMIF($B$80:$B$240,"D2",$H$80:$H$240)/SUMIF($B$80:$B$240,"D2",$I$80:$I$240))</f>
        <v>0.71014492753623193</v>
      </c>
      <c r="G43" s="9" t="str">
        <f>IF(J43="No","No evaluada",INDEX(Parametros!$B$30:$B$34,MATCH(F43,Parametros!$A$30:$A$34,1)))</f>
        <v>N4 - Definido</v>
      </c>
      <c r="H43" s="19" t="str">
        <f>Parametros!C6</f>
        <v>Núcleo</v>
      </c>
      <c r="I43" s="20">
        <f>IF(J43="No",0,E43*F43/SUMPRODUCT($E$42:$E$52*($J$42:$J$52="Sí")))</f>
        <v>7.8115942028985502E-2</v>
      </c>
      <c r="J43" s="9" t="str">
        <f>"Sí"</f>
        <v>Sí</v>
      </c>
    </row>
    <row r="44" spans="1:11" ht="42" customHeight="1">
      <c r="A44" s="35" t="s">
        <v>1219</v>
      </c>
      <c r="B44" s="35"/>
      <c r="C44" s="35"/>
      <c r="D44" s="4" t="str">
        <f>IF(MAX(K107:K120)=0,"Sin brechas relevantes",INDEX(J107:J120,MATCH(MAX(K107:K120),K107:K120,0)))</f>
        <v>No se identifican los movimientos de datos (Entradas, Salidas, Lecturas, Escrituras); el tamaño queda como aproximación. Medir al menos una muestra representativa.</v>
      </c>
      <c r="E44" s="8">
        <f>Parametros!D7</f>
        <v>0.18</v>
      </c>
      <c r="F44" s="18">
        <f>IF(SUMIF($B$80:$B$240,"D3",$I$80:$I$240)=0,0,SUMIF($B$80:$B$240,"D3",$H$80:$H$240)/SUMIF($B$80:$B$240,"D3",$I$80:$I$240))</f>
        <v>0.4946236559139785</v>
      </c>
      <c r="G44" s="9" t="str">
        <f>IF(J44="No","No evaluada",INDEX(Parametros!$B$30:$B$34,MATCH(F44,Parametros!$A$30:$A$34,1)))</f>
        <v>N3 - Intermedio</v>
      </c>
      <c r="H44" s="19" t="str">
        <f>Parametros!C7</f>
        <v>Núcleo</v>
      </c>
      <c r="I44" s="20">
        <f>IF(J44="No",0,E44*F44/SUMPRODUCT($E$42:$E$52*($J$42:$J$52="Sí")))</f>
        <v>8.9032258064516118E-2</v>
      </c>
      <c r="J44" s="9" t="str">
        <f>"Sí"</f>
        <v>Sí</v>
      </c>
    </row>
    <row r="45" spans="1:11" ht="42" customHeight="1">
      <c r="A45" s="35" t="s">
        <v>1224</v>
      </c>
      <c r="B45" s="35"/>
      <c r="C45" s="35"/>
      <c r="D45" s="4" t="str">
        <f>IF(MAX(K122:K133)=0,"Sin brechas relevantes",INDEX(J122:J133,MATCH(MAX(K122:K133),K122:K133,0)))</f>
        <v>Los requisitos de seguridad no están especificados ni clasificados.</v>
      </c>
      <c r="E45" s="8">
        <f>Parametros!D8</f>
        <v>0.15</v>
      </c>
      <c r="F45" s="18">
        <f>IF(SUMIF($B$80:$B$240,"D4",$I$80:$I$240)=0,0,SUMIF($B$80:$B$240,"D4",$H$80:$H$240)/SUMIF($B$80:$B$240,"D4",$I$80:$I$240))</f>
        <v>0.58974358974358976</v>
      </c>
      <c r="G45" s="9" t="str">
        <f>IF(J45="No","No evaluada",INDEX(Parametros!$B$30:$B$34,MATCH(F45,Parametros!$A$30:$A$34,1)))</f>
        <v>N3 - Intermedio</v>
      </c>
      <c r="H45" s="19" t="str">
        <f>Parametros!C8</f>
        <v>Núcleo</v>
      </c>
      <c r="I45" s="20">
        <f>IF(J45="No",0,E45*F45/SUMPRODUCT($E$42:$E$52*($J$42:$J$52="Sí")))</f>
        <v>8.8461538461538453E-2</v>
      </c>
      <c r="J45" s="9" t="str">
        <f>"Sí"</f>
        <v>Sí</v>
      </c>
    </row>
    <row r="46" spans="1:11" ht="42" customHeight="1">
      <c r="A46" s="35" t="s">
        <v>1256</v>
      </c>
      <c r="B46" s="35"/>
      <c r="C46" s="35"/>
      <c r="D46" s="4" t="str">
        <f>IF(MAX(K135:K147)=0,"Sin brechas relevantes",INDEX(J135:J147,MATCH(MAX(K135:K147),K135:K147,0)))</f>
        <v>No está definido el manejo de errores (reintentos, idempotencia, conciliación).</v>
      </c>
      <c r="E46" s="8">
        <f>Parametros!D9</f>
        <v>0.14000000000000001</v>
      </c>
      <c r="F46" s="18">
        <f>IF(SUMIF($B$80:$B$240,"D5",$I$80:$I$240)=0,0,SUMIF($B$80:$B$240,"D5",$H$80:$H$240)/SUMIF($B$80:$B$240,"D5",$I$80:$I$240))</f>
        <v>0.51190476190476186</v>
      </c>
      <c r="G46" s="9" t="str">
        <f>IF(J46="No","No evaluada",INDEX(Parametros!$B$30:$B$34,MATCH(F46,Parametros!$A$30:$A$34,1)))</f>
        <v>N3 - Intermedio</v>
      </c>
      <c r="H46" s="19" t="str">
        <f>Parametros!C9</f>
        <v>Núcleo</v>
      </c>
      <c r="I46" s="20">
        <f>IF(J46="No",0,E46*F46/SUMPRODUCT($E$42:$E$52*($J$42:$J$52="Sí")))</f>
        <v>7.1666666666666656E-2</v>
      </c>
      <c r="J46" s="9" t="str">
        <f>"Sí"</f>
        <v>Sí</v>
      </c>
    </row>
    <row r="47" spans="1:11" ht="42" customHeight="1">
      <c r="A47" s="33" t="s">
        <v>1257</v>
      </c>
      <c r="B47" s="33"/>
      <c r="C47" s="33"/>
      <c r="D47" s="4" t="str">
        <f>IF(MAX(K149:K155)=0,"Sin brechas relevantes",INDEX(J149:J155,MATCH(MAX(K149:K155),K149:K155,0)))</f>
        <v>El reuso no está clasificado por funcionalidad; el porcentaje reutilizable es una suposición.</v>
      </c>
      <c r="E47" s="8">
        <f>Parametros!D10</f>
        <v>0.05</v>
      </c>
      <c r="F47" s="18">
        <f>IF(SUMIF($B$80:$B$240,"D6",$I$80:$I$240)=0,0,SUMIF($B$80:$B$240,"D6",$H$80:$H$240)/SUMIF($B$80:$B$240,"D6",$I$80:$I$240))</f>
        <v>0.47222222222222221</v>
      </c>
      <c r="G47" s="9" t="str">
        <f>IF(J47="No","No evaluada",INDEX(Parametros!$B$30:$B$34,MATCH(F47,Parametros!$A$30:$A$34,1)))</f>
        <v>N3 - Intermedio</v>
      </c>
      <c r="H47" s="19" t="str">
        <f>Parametros!C10</f>
        <v>Complementaria</v>
      </c>
      <c r="I47" s="20">
        <f>IF(J47="No",0,E47*F47/SUMPRODUCT($E$42:$E$52*($J$42:$J$52="Sí")))</f>
        <v>2.3611111111111104E-2</v>
      </c>
      <c r="J47" s="9" t="str">
        <f>IF(SUMPRODUCT(($B$80:$B$240="D6")*ISNUMBER($F$80:$F$240))&gt;0,"Sí","No")</f>
        <v>Sí</v>
      </c>
    </row>
    <row r="48" spans="1:11" ht="42" customHeight="1">
      <c r="A48" s="33" t="s">
        <v>1239</v>
      </c>
      <c r="B48" s="33"/>
      <c r="C48" s="33"/>
      <c r="D48" s="4" t="str">
        <f>IF(MAX(K157:K163)=0,"Sin brechas relevantes",INDEX(J157:J163,MATCH(MAX(K157:K163),K157:K163,0)))</f>
        <v>No se conocen las restricciones tecnológicas del cliente.</v>
      </c>
      <c r="E48" s="8">
        <f>Parametros!D11</f>
        <v>0.05</v>
      </c>
      <c r="F48" s="18">
        <f>IF(SUMIF($B$80:$B$240,"D7",$I$80:$I$240)=0,0,SUMIF($B$80:$B$240,"D7",$H$80:$H$240)/SUMIF($B$80:$B$240,"D7",$I$80:$I$240))</f>
        <v>0.68888888888888888</v>
      </c>
      <c r="G48" s="9" t="str">
        <f>IF(J48="No","No evaluada",INDEX(Parametros!$B$30:$B$34,MATCH(F48,Parametros!$A$30:$A$34,1)))</f>
        <v>N4 - Definido</v>
      </c>
      <c r="H48" s="19" t="str">
        <f>Parametros!C11</f>
        <v>Complementaria</v>
      </c>
      <c r="I48" s="20">
        <f>IF(J48="No",0,E48*F48/SUMPRODUCT($E$42:$E$52*($J$42:$J$52="Sí")))</f>
        <v>3.4444444444444437E-2</v>
      </c>
      <c r="J48" s="9" t="str">
        <f>IF(SUMPRODUCT(($B$80:$B$240="D7")*ISNUMBER($F$80:$F$240))&gt;0,"Sí","No")</f>
        <v>Sí</v>
      </c>
    </row>
    <row r="49" spans="1:11" ht="42" customHeight="1">
      <c r="A49" s="33" t="s">
        <v>1242</v>
      </c>
      <c r="B49" s="33"/>
      <c r="C49" s="33"/>
      <c r="D49" s="4" t="str">
        <f>IF(MAX(K165:K175)=0,"Sin brechas relevantes",INDEX(J165:J175,MATCH(MAX(K165:K175),K165:K175,0)))</f>
        <v>No hay criterios de aceptación verificables; sin ellos el alcance de pruebas y la aceptación son inciertos.</v>
      </c>
      <c r="E49" s="8">
        <f>Parametros!D12</f>
        <v>7.0000000000000007E-2</v>
      </c>
      <c r="F49" s="18">
        <f>IF(SUMIF($B$80:$B$240,"D8",$I$80:$I$240)=0,0,SUMIF($B$80:$B$240,"D8",$H$80:$H$240)/SUMIF($B$80:$B$240,"D8",$I$80:$I$240))</f>
        <v>0.56521739130434778</v>
      </c>
      <c r="G49" s="9" t="str">
        <f>IF(J49="No","No evaluada",INDEX(Parametros!$B$30:$B$34,MATCH(F49,Parametros!$A$30:$A$34,1)))</f>
        <v>N3 - Intermedio</v>
      </c>
      <c r="H49" s="19" t="str">
        <f>Parametros!C12</f>
        <v>Complementaria</v>
      </c>
      <c r="I49" s="20">
        <f>IF(J49="No",0,E49*F49/SUMPRODUCT($E$42:$E$52*($J$42:$J$52="Sí")))</f>
        <v>3.9565217391304343E-2</v>
      </c>
      <c r="J49" s="9" t="str">
        <f>IF(SUMPRODUCT(($B$80:$B$240="D8")*ISNUMBER($F$80:$F$240))&gt;0,"Sí","No")</f>
        <v>Sí</v>
      </c>
    </row>
    <row r="50" spans="1:11" ht="42" customHeight="1">
      <c r="A50" s="33" t="s">
        <v>1245</v>
      </c>
      <c r="B50" s="33"/>
      <c r="C50" s="33"/>
      <c r="D50" s="4" t="str">
        <f>IF(MAX(K177:K184)=0,"Sin brechas relevantes",INDEX(J177:J184,MATCH(MAX(K177:K184),K177:K184,0)))</f>
        <v>No se conocen las dependencias externas de ejecución ni sus tiempos.</v>
      </c>
      <c r="E50" s="8">
        <f>Parametros!D13</f>
        <v>0.05</v>
      </c>
      <c r="F50" s="18">
        <f>IF(SUMIF($B$80:$B$240,"D9",$I$80:$I$240)=0,0,SUMIF($B$80:$B$240,"D9",$H$80:$H$240)/SUMIF($B$80:$B$240,"D9",$I$80:$I$240))</f>
        <v>0.64583333333333337</v>
      </c>
      <c r="G50" s="9" t="str">
        <f>IF(J50="No","No evaluada",INDEX(Parametros!$B$30:$B$34,MATCH(F50,Parametros!$A$30:$A$34,1)))</f>
        <v>N4 - Definido</v>
      </c>
      <c r="H50" s="19" t="str">
        <f>Parametros!C13</f>
        <v>Complementaria</v>
      </c>
      <c r="I50" s="20">
        <f>IF(J50="No",0,E50*F50/SUMPRODUCT($E$42:$E$52*($J$42:$J$52="Sí")))</f>
        <v>3.2291666666666663E-2</v>
      </c>
      <c r="J50" s="9" t="str">
        <f>IF(SUMPRODUCT(($B$80:$B$240="D9")*ISNUMBER($F$80:$F$240))&gt;0,"Sí","No")</f>
        <v>Sí</v>
      </c>
    </row>
    <row r="51" spans="1:11" ht="42" customHeight="1">
      <c r="A51" s="33" t="s">
        <v>1258</v>
      </c>
      <c r="B51" s="33"/>
      <c r="C51" s="33"/>
      <c r="D51" s="4" t="str">
        <f>IF(MAX(K186:K191)=0,"Sin brechas relevantes",INDEX(J186:J191,MATCH(MAX(K186:K191),K186:K191,0)))</f>
        <v>No se conocen los stakeholders ni el ciclo de aprobaciones.</v>
      </c>
      <c r="E51" s="8">
        <f>Parametros!D14</f>
        <v>0.03</v>
      </c>
      <c r="F51" s="18">
        <f>IF(SUMIF($B$80:$B$240,"D10",$I$80:$I$240)=0,0,SUMIF($B$80:$B$240,"D10",$H$80:$H$240)/SUMIF($B$80:$B$240,"D10",$I$80:$I$240))</f>
        <v>0.60606060606060608</v>
      </c>
      <c r="G51" s="9" t="str">
        <f>IF(J51="No","No evaluada",INDEX(Parametros!$B$30:$B$34,MATCH(F51,Parametros!$A$30:$A$34,1)))</f>
        <v>N4 - Definido</v>
      </c>
      <c r="H51" s="19" t="str">
        <f>Parametros!C14</f>
        <v>Complementaria</v>
      </c>
      <c r="I51" s="20">
        <f>IF(J51="No",0,E51*F51/SUMPRODUCT($E$42:$E$52*($J$42:$J$52="Sí")))</f>
        <v>1.8181818181818177E-2</v>
      </c>
      <c r="J51" s="9" t="str">
        <f>IF(SUMPRODUCT(($B$80:$B$240="D10")*ISNUMBER($F$80:$F$240))&gt;0,"Sí","No")</f>
        <v>Sí</v>
      </c>
    </row>
    <row r="52" spans="1:11" ht="42" customHeight="1">
      <c r="A52" s="33" t="s">
        <v>1259</v>
      </c>
      <c r="B52" s="33"/>
      <c r="C52" s="33"/>
      <c r="D52" s="4" t="str">
        <f>IF(MAX(K193:K199)=0,"Sin brechas relevantes",INDEX(J193:J199,MATCH(MAX(K193:K199),K193:K199,0)))</f>
        <v>El tamaño de los comparables no está normalizado.</v>
      </c>
      <c r="E52" s="8">
        <f>Parametros!D15</f>
        <v>0.05</v>
      </c>
      <c r="F52" s="18">
        <f>IF(SUMIF($B$80:$B$240,"D11",$I$80:$I$240)=0,0,SUMIF($B$80:$B$240,"D11",$H$80:$H$240)/SUMIF($B$80:$B$240,"D11",$I$80:$I$240))</f>
        <v>0.39583333333333331</v>
      </c>
      <c r="G52" s="9" t="str">
        <f>IF(J52="No","No evaluada",INDEX(Parametros!$B$30:$B$34,MATCH(F52,Parametros!$A$30:$A$34,1)))</f>
        <v>N2 - Preliminar</v>
      </c>
      <c r="H52" s="19" t="str">
        <f>Parametros!C15</f>
        <v>Complementaria</v>
      </c>
      <c r="I52" s="20">
        <f>IF(J52="No",0,E52*F52/SUMPRODUCT($E$42:$E$52*($J$42:$J$52="Sí")))</f>
        <v>1.9791666666666662E-2</v>
      </c>
      <c r="J52" s="9" t="str">
        <f>IF(SUMPRODUCT(($B$80:$B$240="D11")*ISNUMBER($F$80:$F$240))&gt;0,"Sí","No")</f>
        <v>Sí</v>
      </c>
    </row>
    <row r="53" spans="1:11" ht="15" customHeight="1">
      <c r="A53" s="35" t="s">
        <v>1260</v>
      </c>
      <c r="B53" s="35"/>
      <c r="C53" s="35"/>
      <c r="D53" s="35"/>
      <c r="E53" s="35"/>
      <c r="F53" s="18">
        <f>SUM(I42:I52)</f>
        <v>0.56716232968371816</v>
      </c>
      <c r="G53" s="9" t="str">
        <f>INDEX(Parametros!$B$30:$B$34,MATCH(F53,Parametros!$A$30:$A$34,1))</f>
        <v>N3 - Intermedio</v>
      </c>
      <c r="H53" s="36" t="s">
        <v>1261</v>
      </c>
      <c r="I53" s="36"/>
      <c r="J53" s="36"/>
    </row>
    <row r="54" spans="1:11" ht="15" customHeight="1">
      <c r="A54" s="35" t="s">
        <v>1262</v>
      </c>
      <c r="B54" s="35"/>
      <c r="C54" s="35"/>
      <c r="D54" s="35"/>
      <c r="E54" s="35"/>
      <c r="F54" s="20">
        <f>MIN(F42:F46)</f>
        <v>0.4946236559139785</v>
      </c>
      <c r="G54" s="30" t="str">
        <f>IF(F54&lt;Parametros!$B$37,"Aplica tope: nivel máximo "&amp;INDEX(Parametros!$B$30:$B$34,Parametros!$B$38),"No aplica tope")</f>
        <v>No aplica tope</v>
      </c>
      <c r="H54" s="30"/>
      <c r="I54" s="30"/>
      <c r="J54" s="30"/>
    </row>
    <row r="55" spans="1:11" ht="15" customHeight="1">
      <c r="A55" s="37" t="s">
        <v>1263</v>
      </c>
      <c r="B55" s="37"/>
      <c r="C55" s="37"/>
      <c r="D55" s="37"/>
      <c r="E55" s="37"/>
      <c r="F55" s="21">
        <f>MIN(MATCH(F53,Parametros!$A$30:$A$34,1),IF(F54&lt;Parametros!$B$37,Parametros!$B$38,5))</f>
        <v>3</v>
      </c>
      <c r="G55" s="38" t="str">
        <f>IF(COUNT($F$80:$F$240)=0,"Sin evaluar",INDEX(Parametros!$B$30:$B$34,F55))</f>
        <v>N3 - Intermedio</v>
      </c>
      <c r="H55" s="38"/>
      <c r="I55" s="38"/>
      <c r="J55" s="38"/>
    </row>
    <row r="56" spans="1:11" ht="15" customHeight="1">
      <c r="A56" s="33" t="s">
        <v>1149</v>
      </c>
      <c r="B56" s="33"/>
      <c r="C56" s="33"/>
      <c r="D56" s="30" t="str">
        <f>IF(COUNT($F$80:$F$240)=0,"",INDEX(Parametros!$D$30:$D$34,F55))</f>
        <v>Alcance principal conocido; faltan detalles relevantes.</v>
      </c>
      <c r="E56" s="30"/>
      <c r="F56" s="30"/>
      <c r="G56" s="30"/>
      <c r="H56" s="30"/>
      <c r="I56" s="30"/>
      <c r="J56" s="30"/>
    </row>
    <row r="57" spans="1:11" ht="30" customHeight="1">
      <c r="A57" s="33" t="s">
        <v>1150</v>
      </c>
      <c r="B57" s="33"/>
      <c r="C57" s="33"/>
      <c r="D57" s="30" t="str">
        <f>IF(COUNT($F$80:$F$240)=0,"",INDEX(Parametros!$E$30:$E$34,F55))</f>
        <v>Analogía con histórico + descomposición (WBS); estimación preliminar.</v>
      </c>
      <c r="E57" s="30"/>
      <c r="F57" s="30"/>
      <c r="G57" s="30"/>
      <c r="H57" s="30"/>
      <c r="I57" s="30"/>
      <c r="J57" s="30"/>
    </row>
    <row r="59" spans="1:11">
      <c r="A59" s="32" t="s">
        <v>1264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</row>
    <row r="60" spans="1:11" ht="15" customHeight="1">
      <c r="A60" s="5" t="s">
        <v>129</v>
      </c>
      <c r="B60" s="34" t="s">
        <v>1265</v>
      </c>
      <c r="C60" s="34"/>
      <c r="D60" s="34"/>
      <c r="E60" s="34" t="s">
        <v>1266</v>
      </c>
      <c r="F60" s="34"/>
      <c r="G60" s="34" t="s">
        <v>1267</v>
      </c>
      <c r="H60" s="34"/>
      <c r="I60" s="34"/>
      <c r="J60" s="34"/>
      <c r="K60" s="34"/>
    </row>
    <row r="61" spans="1:11" ht="30" customHeight="1">
      <c r="A61" s="12" t="s">
        <v>1268</v>
      </c>
      <c r="B61" s="30" t="s">
        <v>1269</v>
      </c>
      <c r="C61" s="30"/>
      <c r="D61" s="30"/>
      <c r="E61" s="31" t="str">
        <f>IF(COUNT($F$80:$F$240)+COUNT(E14:E37)-COUNT(E34)=0,"Sin datos",IF(AND(COUNT(E14:E17)&gt;0,ABS(SUM(E14:E17)-1)&gt;0.001),"⚠ Revisar","OK"))</f>
        <v>OK</v>
      </c>
      <c r="F61" s="31"/>
      <c r="G61" s="30" t="str">
        <f>IF(E61="⚠ Revisar","Ajustar los porcentajes de nuevo / evolutivo / modernización / mantenimiento para que sumen 100%.","")</f>
        <v/>
      </c>
      <c r="H61" s="30"/>
      <c r="I61" s="30"/>
      <c r="J61" s="30"/>
      <c r="K61" s="30"/>
    </row>
    <row r="62" spans="1:11" ht="30" customHeight="1">
      <c r="A62" s="12" t="s">
        <v>1270</v>
      </c>
      <c r="B62" s="30" t="s">
        <v>1271</v>
      </c>
      <c r="C62" s="30"/>
      <c r="D62" s="30"/>
      <c r="E62" s="31" t="str">
        <f>IF(COUNT($F$80:$F$240)+COUNT(E14:E37)-COUNT(E34)=0,"Sin datos",IF(AND(SUM(E15:E17)&gt;0,OR(F83="N/A",AND(ISNUMBER(F83),F83&lt;=1))),"⚠ Revisar","OK"))</f>
        <v>⚠ Revisar</v>
      </c>
      <c r="F62" s="31"/>
      <c r="G62" s="30" t="str">
        <f>IF(E62="⚠ Revisar","Se modifica un activo existente sin línea base funcional: D1.03 no debería ser N/A ni ≤ 1.","")</f>
        <v>Se modifica un activo existente sin línea base funcional: D1.03 no debería ser N/A ni ≤ 1.</v>
      </c>
      <c r="H62" s="30"/>
      <c r="I62" s="30"/>
      <c r="J62" s="30"/>
      <c r="K62" s="30"/>
    </row>
    <row r="63" spans="1:11" ht="30" customHeight="1">
      <c r="A63" s="12" t="s">
        <v>1272</v>
      </c>
      <c r="B63" s="30" t="s">
        <v>1273</v>
      </c>
      <c r="C63" s="30"/>
      <c r="D63" s="30"/>
      <c r="E63" s="31" t="str">
        <f>IF(COUNT($F$80:$F$240)+COUNT(E14:E37)-COUNT(E34)=0,"Sin datos",IF(AND(E18="Modernización y migración",G14="Nuevo desarrollo"),"⚠ Revisar","OK"))</f>
        <v>OK</v>
      </c>
      <c r="F63" s="31"/>
      <c r="G63" s="30" t="str">
        <f>IF(E63="⚠ Revisar","Revisar el arquetipo o la composición del tipo de desarrollo.","")</f>
        <v/>
      </c>
      <c r="H63" s="30"/>
      <c r="I63" s="30"/>
      <c r="J63" s="30"/>
      <c r="K63" s="30"/>
    </row>
    <row r="64" spans="1:11" ht="30" customHeight="1">
      <c r="A64" s="12" t="s">
        <v>1274</v>
      </c>
      <c r="B64" s="30" t="s">
        <v>1275</v>
      </c>
      <c r="C64" s="30"/>
      <c r="D64" s="30"/>
      <c r="E64" s="31" t="str">
        <f>IF(COUNT($F$80:$F$240)+COUNT(E14:E37)-COUNT(E34)=0,"Sin datos",IF(AND(E18="Integración e interoperabilidad",N(E29)&lt;3),"⚠ Revisar","OK"))</f>
        <v>OK</v>
      </c>
      <c r="F64" s="31"/>
      <c r="G64" s="30" t="str">
        <f>IF(E64="⚠ Revisar","Con pocas interfaces el esfuerzo difícilmente se concentra en integración; revisar la clasificación.","")</f>
        <v/>
      </c>
      <c r="H64" s="30"/>
      <c r="I64" s="30"/>
      <c r="J64" s="30"/>
      <c r="K64" s="30"/>
    </row>
    <row r="65" spans="1:11" ht="30" customHeight="1">
      <c r="A65" s="12" t="s">
        <v>1276</v>
      </c>
      <c r="B65" s="30" t="s">
        <v>1277</v>
      </c>
      <c r="C65" s="30"/>
      <c r="D65" s="30"/>
      <c r="E65" s="31" t="str">
        <f>IF(COUNT($F$80:$F$240)+COUNT(E14:E37)-COUNT(E34)=0,"Sin datos",IF(AND(OR(E18="Integración e interoperabilidad",ISNUMBER(SEARCH("Integración",E19))),E29=""),"⚠ Revisar","OK"))</f>
        <v>OK</v>
      </c>
      <c r="F65" s="31"/>
      <c r="G65" s="30" t="str">
        <f>IF(E65="⚠ Revisar","Registrar el número de interfaces en la Parte A.","")</f>
        <v/>
      </c>
      <c r="H65" s="30"/>
      <c r="I65" s="30"/>
      <c r="J65" s="30"/>
      <c r="K65" s="30"/>
    </row>
    <row r="66" spans="1:11" ht="30" customHeight="1">
      <c r="A66" s="12" t="s">
        <v>1278</v>
      </c>
      <c r="B66" s="30" t="s">
        <v>1279</v>
      </c>
      <c r="C66" s="30"/>
      <c r="D66" s="30"/>
      <c r="E66" s="31" t="str">
        <f>IF(COUNT($F$80:$F$240)+COUNT(E14:E37)-COUNT(E34)=0,"Sin datos",IF(AND(N(E29)&gt;0,AND(ISNUMBER(F135),F135&lt;=1)),"⚠ Revisar","OK"))</f>
        <v>OK</v>
      </c>
      <c r="F66" s="31"/>
      <c r="G66" s="30" t="str">
        <f>IF(E66="⚠ Revisar","Se declara un número de interfaces que no está respaldado por un inventario.","")</f>
        <v/>
      </c>
      <c r="H66" s="30"/>
      <c r="I66" s="30"/>
      <c r="J66" s="30"/>
      <c r="K66" s="30"/>
    </row>
    <row r="67" spans="1:11" ht="30" customHeight="1">
      <c r="A67" s="12" t="s">
        <v>1280</v>
      </c>
      <c r="B67" s="30" t="s">
        <v>1281</v>
      </c>
      <c r="C67" s="30"/>
      <c r="D67" s="30"/>
      <c r="E67" s="31" t="str">
        <f>IF(COUNT($F$80:$F$240)+COUNT(E14:E37)-COUNT(E34)=0,"Sin datos",IF(AND(N(E21)&gt;0,AND(ISNUMBER(F111),F111&lt;=1)),"⚠ Revisar","OK"))</f>
        <v>OK</v>
      </c>
      <c r="F67" s="31"/>
      <c r="G67" s="30" t="str">
        <f>IF(E67="⚠ Revisar","El número de procesos registrado no tiene inventario que lo respalde; el tamaño es una suposición.","")</f>
        <v/>
      </c>
      <c r="H67" s="30"/>
      <c r="I67" s="30"/>
      <c r="J67" s="30"/>
      <c r="K67" s="30"/>
    </row>
    <row r="68" spans="1:11" ht="30" customHeight="1">
      <c r="A68" s="12" t="s">
        <v>1282</v>
      </c>
      <c r="B68" s="30" t="s">
        <v>1283</v>
      </c>
      <c r="C68" s="30"/>
      <c r="D68" s="30"/>
      <c r="E68" s="31" t="str">
        <f>IF(COUNT($F$80:$F$240)+COUNT(E14:E37)-COUNT(E34)=0,"Sin datos",IF(AND(ISNUMBER(F111),F111&gt;=2,N(E21)=0),"⚠ Revisar","OK"))</f>
        <v>OK</v>
      </c>
      <c r="F68" s="31"/>
      <c r="G68" s="30" t="str">
        <f>IF(E68="⚠ Revisar","Registrar el N° de procesos funcionales en la Parte A para obtener la clase de tamaño.","")</f>
        <v/>
      </c>
      <c r="H68" s="30"/>
      <c r="I68" s="30"/>
      <c r="J68" s="30"/>
      <c r="K68" s="30"/>
    </row>
    <row r="69" spans="1:11" ht="30" customHeight="1">
      <c r="A69" s="12" t="s">
        <v>1284</v>
      </c>
      <c r="B69" s="30" t="s">
        <v>1285</v>
      </c>
      <c r="C69" s="30"/>
      <c r="D69" s="30"/>
      <c r="E69" s="31" t="str">
        <f>IF(COUNT($F$80:$F$240)+COUNT(E14:E37)-COUNT(E34)=0,"Sin datos",IF(AND(E26=2,AND(ISNUMBER(F127),F127&lt;=1)),"⚠ Revisar","OK"))</f>
        <v>⚠ Revisar</v>
      </c>
      <c r="F69" s="31"/>
      <c r="G69" s="30" t="str">
        <f>IF(E69="⚠ Revisar","Se califica la seguridad como crítica sin requisitos especificados; la complejidad no está sustentada.","")</f>
        <v>Se califica la seguridad como crítica sin requisitos especificados; la complejidad no está sustentada.</v>
      </c>
      <c r="H69" s="30"/>
      <c r="I69" s="30"/>
      <c r="J69" s="30"/>
      <c r="K69" s="30"/>
    </row>
    <row r="70" spans="1:11" ht="30" customHeight="1">
      <c r="A70" s="12" t="s">
        <v>1286</v>
      </c>
      <c r="B70" s="30" t="s">
        <v>1287</v>
      </c>
      <c r="C70" s="30"/>
      <c r="D70" s="30"/>
      <c r="E70" s="31" t="str">
        <f>IF(COUNT($F$80:$F$240)+COUNT(E14:E37)-COUNT(E34)=0,"Sin datos",IF(AND(E24=2,AND(ISNUMBER(F123),F123&lt;=1)),"⚠ Revisar","OK"))</f>
        <v>OK</v>
      </c>
      <c r="F70" s="31"/>
      <c r="G70" s="30" t="str">
        <f>IF(E70="⚠ Revisar","Se califican reglas complejas sin caracterizarlas; documentar condiciones y excepciones.","")</f>
        <v/>
      </c>
      <c r="H70" s="30"/>
      <c r="I70" s="30"/>
      <c r="J70" s="30"/>
      <c r="K70" s="30"/>
    </row>
    <row r="71" spans="1:11" ht="30" customHeight="1">
      <c r="A71" s="12" t="s">
        <v>1288</v>
      </c>
      <c r="B71" s="30" t="s">
        <v>1289</v>
      </c>
      <c r="C71" s="30"/>
      <c r="D71" s="30"/>
      <c r="E71" s="31" t="str">
        <f>IF(COUNT($F$80:$F$240)+COUNT(E14:E37)-COUNT(E34)=0,"Sin datos",IF(AND(N(E32)&gt;0.7,OR(F151="N/A",AND(ISNUMBER(F151),F151&lt;=1))),"⚠ Revisar","OK"))</f>
        <v>OK</v>
      </c>
      <c r="F71" s="31"/>
      <c r="G71" s="30" t="str">
        <f>IF(E71="⚠ Revisar","El porcentaje de reuso no está respaldado por una evaluación de los activos.","")</f>
        <v/>
      </c>
      <c r="H71" s="30"/>
      <c r="I71" s="30"/>
      <c r="J71" s="30"/>
      <c r="K71" s="30"/>
    </row>
    <row r="72" spans="1:11" ht="30" customHeight="1">
      <c r="A72" s="12" t="s">
        <v>1290</v>
      </c>
      <c r="B72" s="30" t="s">
        <v>1291</v>
      </c>
      <c r="C72" s="30"/>
      <c r="D72" s="30"/>
      <c r="E72" s="31" t="str">
        <f>IF(COUNT($F$80:$F$240)+COUNT(E14:E37)-COUNT(E34)=0,"Sin datos",IF(AND(LEFT(E33,2)="T1",AND(ISNUMBER(F160),F160&lt;=1)),"⚠ Revisar","OK"))</f>
        <v>OK</v>
      </c>
      <c r="F72" s="31"/>
      <c r="G72" s="30" t="str">
        <f>IF(E72="⚠ Revisar","Se declara tecnología conocida sin evaluar la experiencia del equipo por tecnología.","")</f>
        <v/>
      </c>
      <c r="H72" s="30"/>
      <c r="I72" s="30"/>
      <c r="J72" s="30"/>
      <c r="K72" s="30"/>
    </row>
    <row r="73" spans="1:11" ht="30" customHeight="1">
      <c r="A73" s="12" t="s">
        <v>1292</v>
      </c>
      <c r="B73" s="30" t="s">
        <v>1293</v>
      </c>
      <c r="C73" s="30"/>
      <c r="D73" s="30"/>
      <c r="E73" s="31" t="str">
        <f>IF(COUNT($F$80:$F$240)+COUNT(E14:E37)-COUNT(E34)=0,"Sin datos",IF(AND(N(E37)&gt;=4,AND(ISNUMBER(F195),F195&lt;=1)),"⚠ Revisar","OK"))</f>
        <v>OK</v>
      </c>
      <c r="F73" s="31"/>
      <c r="G73" s="30" t="str">
        <f>IF(E73="⚠ Revisar","Los comparables existen pero sus datos son incompletos; la evidencia real es menor.","")</f>
        <v/>
      </c>
      <c r="H73" s="30"/>
      <c r="I73" s="30"/>
      <c r="J73" s="30"/>
      <c r="K73" s="30"/>
    </row>
    <row r="74" spans="1:11" ht="30" customHeight="1">
      <c r="A74" s="12" t="s">
        <v>1294</v>
      </c>
      <c r="B74" s="30" t="s">
        <v>1295</v>
      </c>
      <c r="C74" s="30"/>
      <c r="D74" s="30"/>
      <c r="E74" s="31" t="str">
        <f>IF(COUNT($F$80:$F$240)+COUNT(E14:E37)-COUNT(E34)=0,"Sin datos",IF(AND(E34&gt;=5,F44&lt;Parametros!$B$37),"⚠ Revisar","OK"))</f>
        <v>OK</v>
      </c>
      <c r="F74" s="31"/>
      <c r="G74" s="30" t="str">
        <f>IF(E74="⚠ Revisar","El alcance se declara definido pero el tamaño no es medible; revisar D3 y D8.","")</f>
        <v/>
      </c>
      <c r="H74" s="30"/>
      <c r="I74" s="30"/>
      <c r="J74" s="30"/>
      <c r="K74" s="30"/>
    </row>
    <row r="75" spans="1:11" ht="30" customHeight="1">
      <c r="A75" s="12" t="s">
        <v>1296</v>
      </c>
      <c r="B75" s="30" t="s">
        <v>1297</v>
      </c>
      <c r="C75" s="30"/>
      <c r="D75" s="30"/>
      <c r="E75" s="31" t="str">
        <f>IF(COUNT($F$80:$F$240)+COUNT(E14:E37)-COUNT(E34)=0,"Sin datos",IF(AND(LEFT(G29,2)="I3",AND(ISNUMBER(F143),F143&lt;=1)),"⚠ Revisar","OK"))</f>
        <v>OK</v>
      </c>
      <c r="F75" s="31"/>
      <c r="G75" s="30" t="str">
        <f>IF(E75="⚠ Revisar","Integración de alta dificultad sin ambientes de prueba confirmados: alerta crítica para la planificación.","")</f>
        <v/>
      </c>
      <c r="H75" s="30"/>
      <c r="I75" s="30"/>
      <c r="J75" s="30"/>
      <c r="K75" s="30"/>
    </row>
    <row r="78" spans="1:11">
      <c r="A78" s="32" t="s">
        <v>1298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</row>
    <row r="79" spans="1:11" ht="23.85">
      <c r="A79" s="5" t="s">
        <v>129</v>
      </c>
      <c r="B79" s="5" t="s">
        <v>1299</v>
      </c>
      <c r="C79" s="5" t="s">
        <v>130</v>
      </c>
      <c r="D79" s="5" t="s">
        <v>1300</v>
      </c>
      <c r="E79" s="5" t="s">
        <v>40</v>
      </c>
      <c r="F79" s="5" t="s">
        <v>1301</v>
      </c>
      <c r="G79" s="5" t="s">
        <v>1302</v>
      </c>
      <c r="H79" s="5" t="s">
        <v>1303</v>
      </c>
      <c r="I79" s="5" t="s">
        <v>1304</v>
      </c>
      <c r="J79" s="5" t="s">
        <v>1305</v>
      </c>
      <c r="K79" s="5" t="s">
        <v>1306</v>
      </c>
    </row>
    <row r="80" spans="1:11">
      <c r="A80" s="28" t="str">
        <f>"D1 · Tipo de desarrollo — Núcleo · peso "&amp;TEXT(Parametros!$D$5,"0%")&amp;" · 12 criterios"</f>
        <v>D1 · Tipo de desarrollo — Núcleo · peso 12% · 12 criterios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</row>
    <row r="81" spans="1:11" ht="54" customHeight="1">
      <c r="A81" s="9" t="s">
        <v>142</v>
      </c>
      <c r="B81" s="9" t="s">
        <v>48</v>
      </c>
      <c r="C81" s="4" t="s">
        <v>143</v>
      </c>
      <c r="D81" s="4" t="s">
        <v>1307</v>
      </c>
      <c r="E81" s="19">
        <f>INDEX(Rubricas!$M$4:$M$112,MATCH(A81,Rubricas!$A$4:$A$112,0))</f>
        <v>3</v>
      </c>
      <c r="F81" s="22">
        <v>2</v>
      </c>
      <c r="G81" s="17" t="s">
        <v>1425</v>
      </c>
      <c r="H81" s="9">
        <f>IF(ISNUMBER(F81),F81*E81,0)</f>
        <v>6</v>
      </c>
      <c r="I81" s="9">
        <f>IF(F81="N/A",0,3*E81)</f>
        <v>9</v>
      </c>
      <c r="J81" s="4" t="str">
        <f>IF(F81="","Sin evaluar (núcleo, cuenta como 0) – "&amp;INDEX(Rubricas!$F$4:$F$112,MATCH(A81,Rubricas!$A$4:$A$112,0)),IF(F81="N/A","⚠ Este criterio no admite N/A: calificar de 0 a 3.",IF(F81&lt;=1,INDEX(Rubricas!$O$4:$O$112,MATCH(A81,Rubricas!$A$4:$A$112,0)),IF(F81=2,"Por completar o validar – "&amp;INDEX(Rubricas!$F$4:$F$112,MATCH(A81,Rubricas!$A$4:$A$112,0)),""))))</f>
        <v>Por completar o validar – Composición del alcance cuantificada</v>
      </c>
      <c r="K81" s="23">
        <f>IF(ISNUMBER(F81),IF(F81&lt;3,(3-F81)*E81*VLOOKUP(B81,Parametros!$A$5:$D$15,4,0)*100+ROW()/100000,0),IF(F81="",3*E81*VLOOKUP(B81,Parametros!$A$5:$D$15,4,0)*100+ROW()/100000,0))</f>
        <v>36.000810000000001</v>
      </c>
    </row>
    <row r="82" spans="1:11" ht="54" customHeight="1">
      <c r="A82" s="9" t="s">
        <v>154</v>
      </c>
      <c r="B82" s="9" t="s">
        <v>48</v>
      </c>
      <c r="C82" s="4" t="s">
        <v>143</v>
      </c>
      <c r="D82" s="4" t="s">
        <v>1308</v>
      </c>
      <c r="E82" s="19">
        <f>INDEX(Rubricas!$M$4:$M$112,MATCH(A82,Rubricas!$A$4:$A$112,0))</f>
        <v>3</v>
      </c>
      <c r="F82" s="22">
        <v>3</v>
      </c>
      <c r="G82" s="17" t="s">
        <v>1426</v>
      </c>
      <c r="H82" s="9">
        <f>IF(ISNUMBER(F82),F82*E82,0)</f>
        <v>9</v>
      </c>
      <c r="I82" s="9">
        <f>IF(F82="N/A",0,3*E82)</f>
        <v>9</v>
      </c>
      <c r="J82" s="4" t="str">
        <f>IF(F82="","Sin evaluar (núcleo, cuenta como 0) – "&amp;INDEX(Rubricas!$F$4:$F$112,MATCH(A82,Rubricas!$A$4:$A$112,0)),IF(F82="N/A","⚠ Este criterio no admite N/A: calificar de 0 a 3.",IF(F82&lt;=1,INDEX(Rubricas!$O$4:$O$112,MATCH(A82,Rubricas!$A$4:$A$112,0)),IF(F82=2,"Por completar o validar – "&amp;INDEX(Rubricas!$F$4:$F$112,MATCH(A82,Rubricas!$A$4:$A$112,0)),""))))</f>
        <v/>
      </c>
      <c r="K82" s="23">
        <f>IF(ISNUMBER(F82),IF(F82&lt;3,(3-F82)*E82*VLOOKUP(B82,Parametros!$A$5:$D$15,4,0)*100+ROW()/100000,0),IF(F82="",3*E82*VLOOKUP(B82,Parametros!$A$5:$D$15,4,0)*100+ROW()/100000,0))</f>
        <v>0</v>
      </c>
    </row>
    <row r="83" spans="1:11" ht="54" customHeight="1">
      <c r="A83" s="9" t="s">
        <v>163</v>
      </c>
      <c r="B83" s="9" t="s">
        <v>48</v>
      </c>
      <c r="C83" s="4" t="s">
        <v>164</v>
      </c>
      <c r="D83" s="4" t="s">
        <v>1309</v>
      </c>
      <c r="E83" s="19">
        <f>INDEX(Rubricas!$M$4:$M$112,MATCH(A83,Rubricas!$A$4:$A$112,0))</f>
        <v>2</v>
      </c>
      <c r="F83" s="22">
        <v>1</v>
      </c>
      <c r="G83" s="17" t="s">
        <v>1427</v>
      </c>
      <c r="H83" s="9">
        <f>IF(ISNUMBER(F83),F83*E83,0)</f>
        <v>2</v>
      </c>
      <c r="I83" s="9">
        <f>IF(F83="N/A",0,3*E83)</f>
        <v>6</v>
      </c>
      <c r="J83" s="4" t="str">
        <f>IF(F83="","Sin evaluar (núcleo, cuenta como 0) – "&amp;INDEX(Rubricas!$F$4:$F$112,MATCH(A83,Rubricas!$A$4:$A$112,0)),IF(F83="N/A","",IF(F83&lt;=1,INDEX(Rubricas!$O$4:$O$112,MATCH(A83,Rubricas!$A$4:$A$112,0)),IF(F83=2,"Por completar o validar – "&amp;INDEX(Rubricas!$F$4:$F$112,MATCH(A83,Rubricas!$A$4:$A$112,0)),""))))</f>
        <v>No hay línea base funcional del activo existente; sin ella no puede medirse el tamaño del cambio ni el alcance de regresión. Levantar el inventario de funcionalidades actuales.</v>
      </c>
      <c r="K83" s="23">
        <f>IF(ISNUMBER(F83),IF(F83&lt;3,(3-F83)*E83*VLOOKUP(B83,Parametros!$A$5:$D$15,4,0)*100+ROW()/100000,0),IF(F83="",3*E83*VLOOKUP(B83,Parametros!$A$5:$D$15,4,0)*100+ROW()/100000,0))</f>
        <v>48.000830000000001</v>
      </c>
    </row>
    <row r="84" spans="1:11" ht="54" customHeight="1">
      <c r="A84" s="9" t="s">
        <v>175</v>
      </c>
      <c r="B84" s="9" t="s">
        <v>48</v>
      </c>
      <c r="C84" s="4" t="s">
        <v>143</v>
      </c>
      <c r="D84" s="4" t="s">
        <v>1310</v>
      </c>
      <c r="E84" s="19">
        <f>INDEX(Rubricas!$M$4:$M$112,MATCH(A84,Rubricas!$A$4:$A$112,0))</f>
        <v>3</v>
      </c>
      <c r="F84" s="22">
        <v>2</v>
      </c>
      <c r="G84" s="17" t="s">
        <v>1428</v>
      </c>
      <c r="H84" s="9">
        <f>IF(ISNUMBER(F84),F84*E84,0)</f>
        <v>6</v>
      </c>
      <c r="I84" s="9">
        <f>IF(F84="N/A",0,3*E84)</f>
        <v>9</v>
      </c>
      <c r="J84" s="4" t="str">
        <f>IF(F84="","Sin evaluar (núcleo, cuenta como 0) – "&amp;INDEX(Rubricas!$F$4:$F$112,MATCH(A84,Rubricas!$A$4:$A$112,0)),IF(F84="N/A","",IF(F84&lt;=1,INDEX(Rubricas!$O$4:$O$112,MATCH(A84,Rubricas!$A$4:$A$112,0)),IF(F84=2,"Por completar o validar – "&amp;INDEX(Rubricas!$F$4:$F$112,MATCH(A84,Rubricas!$A$4:$A$112,0)),""))))</f>
        <v>Por completar o validar – Funcionalidades nuevas identificadas</v>
      </c>
      <c r="K84" s="23">
        <f>IF(ISNUMBER(F84),IF(F84&lt;3,(3-F84)*E84*VLOOKUP(B84,Parametros!$A$5:$D$15,4,0)*100+ROW()/100000,0),IF(F84="",3*E84*VLOOKUP(B84,Parametros!$A$5:$D$15,4,0)*100+ROW()/100000,0))</f>
        <v>36.000839999999997</v>
      </c>
    </row>
    <row r="85" spans="1:11" ht="54" customHeight="1">
      <c r="A85" s="9" t="s">
        <v>184</v>
      </c>
      <c r="B85" s="9" t="s">
        <v>48</v>
      </c>
      <c r="C85" s="4" t="s">
        <v>143</v>
      </c>
      <c r="D85" s="4" t="s">
        <v>1311</v>
      </c>
      <c r="E85" s="19">
        <f>INDEX(Rubricas!$M$4:$M$112,MATCH(A85,Rubricas!$A$4:$A$112,0))</f>
        <v>3</v>
      </c>
      <c r="F85" s="22">
        <v>1</v>
      </c>
      <c r="G85" s="17" t="s">
        <v>1429</v>
      </c>
      <c r="H85" s="9">
        <f>IF(ISNUMBER(F85),F85*E85,0)</f>
        <v>3</v>
      </c>
      <c r="I85" s="9">
        <f>IF(F85="N/A",0,3*E85)</f>
        <v>9</v>
      </c>
      <c r="J85" s="4" t="str">
        <f>IF(F85="","Sin evaluar (núcleo, cuenta como 0) – "&amp;INDEX(Rubricas!$F$4:$F$112,MATCH(A85,Rubricas!$A$4:$A$112,0)),IF(F85="N/A","",IF(F85&lt;=1,INDEX(Rubricas!$O$4:$O$112,MATCH(A85,Rubricas!$A$4:$A$112,0)),IF(F85=2,"Por completar o validar – "&amp;INDEX(Rubricas!$F$4:$F$112,MATCH(A85,Rubricas!$A$4:$A$112,0)),""))))</f>
        <v>No se detalla qué cambia en las funcionalidades existentes. En evolutivos el tamaño es la suma de movimientos de datos agregados, modificados y eliminados; identificarlos.</v>
      </c>
      <c r="K85" s="23">
        <f>IF(ISNUMBER(F85),IF(F85&lt;3,(3-F85)*E85*VLOOKUP(B85,Parametros!$A$5:$D$15,4,0)*100+ROW()/100000,0),IF(F85="",3*E85*VLOOKUP(B85,Parametros!$A$5:$D$15,4,0)*100+ROW()/100000,0))</f>
        <v>72.00085</v>
      </c>
    </row>
    <row r="86" spans="1:11" ht="54" customHeight="1">
      <c r="A86" s="9" t="s">
        <v>193</v>
      </c>
      <c r="B86" s="9" t="s">
        <v>48</v>
      </c>
      <c r="C86" s="4" t="s">
        <v>143</v>
      </c>
      <c r="D86" s="4" t="s">
        <v>1312</v>
      </c>
      <c r="E86" s="19">
        <f>INDEX(Rubricas!$M$4:$M$112,MATCH(A86,Rubricas!$A$4:$A$112,0))</f>
        <v>1</v>
      </c>
      <c r="F86" s="22">
        <v>2</v>
      </c>
      <c r="G86" s="17" t="s">
        <v>1430</v>
      </c>
      <c r="H86" s="9">
        <f>IF(ISNUMBER(F86),F86*E86,0)</f>
        <v>2</v>
      </c>
      <c r="I86" s="9">
        <f>IF(F86="N/A",0,3*E86)</f>
        <v>3</v>
      </c>
      <c r="J86" s="4" t="str">
        <f>IF(F86="","Sin evaluar (núcleo, cuenta como 0) – "&amp;INDEX(Rubricas!$F$4:$F$112,MATCH(A86,Rubricas!$A$4:$A$112,0)),IF(F86="N/A","",IF(F86&lt;=1,INDEX(Rubricas!$O$4:$O$112,MATCH(A86,Rubricas!$A$4:$A$112,0)),IF(F86=2,"Por completar o validar – "&amp;INDEX(Rubricas!$F$4:$F$112,MATCH(A86,Rubricas!$A$4:$A$112,0)),""))))</f>
        <v>Por completar o validar – Funcionalidades retiradas</v>
      </c>
      <c r="K86" s="23">
        <f>IF(ISNUMBER(F86),IF(F86&lt;3,(3-F86)*E86*VLOOKUP(B86,Parametros!$A$5:$D$15,4,0)*100+ROW()/100000,0),IF(F86="",3*E86*VLOOKUP(B86,Parametros!$A$5:$D$15,4,0)*100+ROW()/100000,0))</f>
        <v>12.000859999999999</v>
      </c>
    </row>
    <row r="87" spans="1:11" ht="54" customHeight="1">
      <c r="A87" s="9" t="s">
        <v>202</v>
      </c>
      <c r="B87" s="9" t="s">
        <v>48</v>
      </c>
      <c r="C87" s="4" t="s">
        <v>203</v>
      </c>
      <c r="D87" s="4" t="s">
        <v>1313</v>
      </c>
      <c r="E87" s="19">
        <f>INDEX(Rubricas!$M$4:$M$112,MATCH(A87,Rubricas!$A$4:$A$112,0))</f>
        <v>3</v>
      </c>
      <c r="F87" s="22">
        <v>2</v>
      </c>
      <c r="G87" s="17" t="s">
        <v>1431</v>
      </c>
      <c r="H87" s="9">
        <f>IF(ISNUMBER(F87),F87*E87,0)</f>
        <v>6</v>
      </c>
      <c r="I87" s="9">
        <f>IF(F87="N/A",0,3*E87)</f>
        <v>9</v>
      </c>
      <c r="J87" s="4" t="str">
        <f>IF(F87="","Sin evaluar (núcleo, cuenta como 0) – "&amp;INDEX(Rubricas!$F$4:$F$112,MATCH(A87,Rubricas!$A$4:$A$112,0)),IF(F87="N/A","⚠ Este criterio no admite N/A: calificar de 0 a 3.",IF(F87&lt;=1,INDEX(Rubricas!$O$4:$O$112,MATCH(A87,Rubricas!$A$4:$A$112,0)),IF(F87=2,"Por completar o validar – "&amp;INDEX(Rubricas!$F$4:$F$112,MATCH(A87,Rubricas!$A$4:$A$112,0)),""))))</f>
        <v>Por completar o validar – Frontera del software definida</v>
      </c>
      <c r="K87" s="23">
        <f>IF(ISNUMBER(F87),IF(F87&lt;3,(3-F87)*E87*VLOOKUP(B87,Parametros!$A$5:$D$15,4,0)*100+ROW()/100000,0),IF(F87="",3*E87*VLOOKUP(B87,Parametros!$A$5:$D$15,4,0)*100+ROW()/100000,0))</f>
        <v>36.000869999999999</v>
      </c>
    </row>
    <row r="88" spans="1:11" ht="54" customHeight="1">
      <c r="A88" s="9" t="s">
        <v>212</v>
      </c>
      <c r="B88" s="9" t="s">
        <v>48</v>
      </c>
      <c r="C88" s="4" t="s">
        <v>203</v>
      </c>
      <c r="D88" s="4" t="s">
        <v>1314</v>
      </c>
      <c r="E88" s="19">
        <f>INDEX(Rubricas!$M$4:$M$112,MATCH(A88,Rubricas!$A$4:$A$112,0))</f>
        <v>2</v>
      </c>
      <c r="F88" s="22">
        <v>2</v>
      </c>
      <c r="G88" s="17" t="s">
        <v>1432</v>
      </c>
      <c r="H88" s="9">
        <f>IF(ISNUMBER(F88),F88*E88,0)</f>
        <v>4</v>
      </c>
      <c r="I88" s="9">
        <f>IF(F88="N/A",0,3*E88)</f>
        <v>6</v>
      </c>
      <c r="J88" s="4" t="str">
        <f>IF(F88="","Sin evaluar (núcleo, cuenta como 0) – "&amp;INDEX(Rubricas!$F$4:$F$112,MATCH(A88,Rubricas!$A$4:$A$112,0)),IF(F88="N/A","⚠ Este criterio no admite N/A: calificar de 0 a 3.",IF(F88&lt;=1,INDEX(Rubricas!$O$4:$O$112,MATCH(A88,Rubricas!$A$4:$A$112,0)),IF(F88=2,"Por completar o validar – "&amp;INDEX(Rubricas!$F$4:$F$112,MATCH(A88,Rubricas!$A$4:$A$112,0)),""))))</f>
        <v>Por completar o validar – Capas y componentes afectados</v>
      </c>
      <c r="K88" s="23">
        <f>IF(ISNUMBER(F88),IF(F88&lt;3,(3-F88)*E88*VLOOKUP(B88,Parametros!$A$5:$D$15,4,0)*100+ROW()/100000,0),IF(F88="",3*E88*VLOOKUP(B88,Parametros!$A$5:$D$15,4,0)*100+ROW()/100000,0))</f>
        <v>24.000879999999999</v>
      </c>
    </row>
    <row r="89" spans="1:11" ht="54" customHeight="1">
      <c r="A89" s="9" t="s">
        <v>221</v>
      </c>
      <c r="B89" s="9" t="s">
        <v>48</v>
      </c>
      <c r="C89" s="4" t="s">
        <v>164</v>
      </c>
      <c r="D89" s="4" t="s">
        <v>1315</v>
      </c>
      <c r="E89" s="19">
        <f>INDEX(Rubricas!$M$4:$M$112,MATCH(A89,Rubricas!$A$4:$A$112,0))</f>
        <v>2</v>
      </c>
      <c r="F89" s="22">
        <v>1</v>
      </c>
      <c r="G89" s="17" t="s">
        <v>1433</v>
      </c>
      <c r="H89" s="9">
        <f>IF(ISNUMBER(F89),F89*E89,0)</f>
        <v>2</v>
      </c>
      <c r="I89" s="9">
        <f>IF(F89="N/A",0,3*E89)</f>
        <v>6</v>
      </c>
      <c r="J89" s="4" t="str">
        <f>IF(F89="","Sin evaluar (núcleo, cuenta como 0) – "&amp;INDEX(Rubricas!$F$4:$F$112,MATCH(A89,Rubricas!$A$4:$A$112,0)),IF(F89="N/A","",IF(F89&lt;=1,INDEX(Rubricas!$O$4:$O$112,MATCH(A89,Rubricas!$A$4:$A$112,0)),IF(F89=2,"Por completar o validar – "&amp;INDEX(Rubricas!$F$4:$F$112,MATCH(A89,Rubricas!$A$4:$A$112,0)),""))))</f>
        <v>No se confirma acceso ni estado del código/documentación del activo existente; aumenta el esfuerzo de análisis. Solicitar acceso y evaluar su estado.</v>
      </c>
      <c r="K89" s="23">
        <f>IF(ISNUMBER(F89),IF(F89&lt;3,(3-F89)*E89*VLOOKUP(B89,Parametros!$A$5:$D$15,4,0)*100+ROW()/100000,0),IF(F89="",3*E89*VLOOKUP(B89,Parametros!$A$5:$D$15,4,0)*100+ROW()/100000,0))</f>
        <v>48.000889999999998</v>
      </c>
    </row>
    <row r="90" spans="1:11" ht="54" customHeight="1">
      <c r="A90" s="9" t="s">
        <v>231</v>
      </c>
      <c r="B90" s="9" t="s">
        <v>48</v>
      </c>
      <c r="C90" s="4" t="s">
        <v>232</v>
      </c>
      <c r="D90" s="4" t="s">
        <v>1316</v>
      </c>
      <c r="E90" s="19">
        <f>INDEX(Rubricas!$M$4:$M$112,MATCH(A90,Rubricas!$A$4:$A$112,0))</f>
        <v>2</v>
      </c>
      <c r="F90" s="22">
        <v>1</v>
      </c>
      <c r="G90" s="17" t="s">
        <v>1434</v>
      </c>
      <c r="H90" s="9">
        <f>IF(ISNUMBER(F90),F90*E90,0)</f>
        <v>2</v>
      </c>
      <c r="I90" s="9">
        <f>IF(F90="N/A",0,3*E90)</f>
        <v>6</v>
      </c>
      <c r="J90" s="4" t="str">
        <f>IF(F90="","Sin evaluar (núcleo, cuenta como 0) – "&amp;INDEX(Rubricas!$F$4:$F$112,MATCH(A90,Rubricas!$A$4:$A$112,0)),IF(F90="N/A","",IF(F90&lt;=1,INDEX(Rubricas!$O$4:$O$112,MATCH(A90,Rubricas!$A$4:$A$112,0)),IF(F90=2,"Por completar o validar – "&amp;INDEX(Rubricas!$F$4:$F$112,MATCH(A90,Rubricas!$A$4:$A$112,0)),""))))</f>
        <v>No está definido el alcance de regresión; en evolutivos y modernizaciones es un driver de esfuerzo relevante.</v>
      </c>
      <c r="K90" s="23">
        <f>IF(ISNUMBER(F90),IF(F90&lt;3,(3-F90)*E90*VLOOKUP(B90,Parametros!$A$5:$D$15,4,0)*100+ROW()/100000,0),IF(F90="",3*E90*VLOOKUP(B90,Parametros!$A$5:$D$15,4,0)*100+ROW()/100000,0))</f>
        <v>48.000900000000001</v>
      </c>
    </row>
    <row r="91" spans="1:11" ht="54" customHeight="1">
      <c r="A91" s="9" t="s">
        <v>241</v>
      </c>
      <c r="B91" s="9" t="s">
        <v>48</v>
      </c>
      <c r="C91" s="4" t="s">
        <v>232</v>
      </c>
      <c r="D91" s="4" t="s">
        <v>1317</v>
      </c>
      <c r="E91" s="19">
        <f>INDEX(Rubricas!$M$4:$M$112,MATCH(A91,Rubricas!$A$4:$A$112,0))</f>
        <v>2</v>
      </c>
      <c r="F91" s="22" t="s">
        <v>1142</v>
      </c>
      <c r="G91" s="17" t="s">
        <v>1435</v>
      </c>
      <c r="H91" s="9">
        <f>IF(ISNUMBER(F91),F91*E91,0)</f>
        <v>0</v>
      </c>
      <c r="I91" s="9">
        <f>IF(F91="N/A",0,3*E91)</f>
        <v>0</v>
      </c>
      <c r="J91" s="4" t="str">
        <f>IF(F91="","Sin evaluar (núcleo, cuenta como 0) – "&amp;INDEX(Rubricas!$F$4:$F$112,MATCH(A91,Rubricas!$A$4:$A$112,0)),IF(F91="N/A","",IF(F91&lt;=1,INDEX(Rubricas!$O$4:$O$112,MATCH(A91,Rubricas!$A$4:$A$112,0)),IF(F91=2,"Por completar o validar – "&amp;INDEX(Rubricas!$F$4:$F$112,MATCH(A91,Rubricas!$A$4:$A$112,0)),""))))</f>
        <v/>
      </c>
      <c r="K91" s="23">
        <f>IF(ISNUMBER(F91),IF(F91&lt;3,(3-F91)*E91*VLOOKUP(B91,Parametros!$A$5:$D$15,4,0)*100+ROW()/100000,0),IF(F91="",3*E91*VLOOKUP(B91,Parametros!$A$5:$D$15,4,0)*100+ROW()/100000,0))</f>
        <v>0</v>
      </c>
    </row>
    <row r="92" spans="1:11" ht="54" customHeight="1">
      <c r="A92" s="9" t="s">
        <v>250</v>
      </c>
      <c r="B92" s="9" t="s">
        <v>48</v>
      </c>
      <c r="C92" s="4" t="s">
        <v>143</v>
      </c>
      <c r="D92" s="4" t="s">
        <v>1318</v>
      </c>
      <c r="E92" s="19">
        <f>INDEX(Rubricas!$M$4:$M$112,MATCH(A92,Rubricas!$A$4:$A$112,0))</f>
        <v>1</v>
      </c>
      <c r="F92" s="22">
        <v>3</v>
      </c>
      <c r="G92" s="17" t="s">
        <v>1436</v>
      </c>
      <c r="H92" s="9">
        <f>IF(ISNUMBER(F92),F92*E92,0)</f>
        <v>3</v>
      </c>
      <c r="I92" s="9">
        <f>IF(F92="N/A",0,3*E92)</f>
        <v>3</v>
      </c>
      <c r="J92" s="4" t="str">
        <f>IF(F92="","Sin evaluar (núcleo, cuenta como 0) – "&amp;INDEX(Rubricas!$F$4:$F$112,MATCH(A92,Rubricas!$A$4:$A$112,0)),IF(F92="N/A","⚠ Este criterio no admite N/A: calificar de 0 a 3.",IF(F92&lt;=1,INDEX(Rubricas!$O$4:$O$112,MATCH(A92,Rubricas!$A$4:$A$112,0)),IF(F92=2,"Por completar o validar – "&amp;INDEX(Rubricas!$F$4:$F$112,MATCH(A92,Rubricas!$A$4:$A$112,0)),""))))</f>
        <v/>
      </c>
      <c r="K92" s="23">
        <f>IF(ISNUMBER(F92),IF(F92&lt;3,(3-F92)*E92*VLOOKUP(B92,Parametros!$A$5:$D$15,4,0)*100+ROW()/100000,0),IF(F92="",3*E92*VLOOKUP(B92,Parametros!$A$5:$D$15,4,0)*100+ROW()/100000,0))</f>
        <v>0</v>
      </c>
    </row>
    <row r="93" spans="1:11">
      <c r="A93" s="28" t="str">
        <f>"D2 · Tipo de solución / arquetipo — Núcleo · peso "&amp;TEXT(Parametros!$D$6,"0%")&amp;" · 12 criterios"</f>
        <v>D2 · Tipo de solución / arquetipo — Núcleo · peso 11% · 12 criterios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ht="54" customHeight="1">
      <c r="A94" s="9" t="s">
        <v>259</v>
      </c>
      <c r="B94" s="9" t="s">
        <v>56</v>
      </c>
      <c r="C94" s="4" t="s">
        <v>260</v>
      </c>
      <c r="D94" s="4" t="s">
        <v>1319</v>
      </c>
      <c r="E94" s="19">
        <f>INDEX(Rubricas!$M$4:$M$112,MATCH(A94,Rubricas!$A$4:$A$112,0))</f>
        <v>3</v>
      </c>
      <c r="F94" s="22">
        <v>3</v>
      </c>
      <c r="G94" s="17" t="s">
        <v>1437</v>
      </c>
      <c r="H94" s="9">
        <f>IF(ISNUMBER(F94),F94*E94,0)</f>
        <v>9</v>
      </c>
      <c r="I94" s="9">
        <f>IF(F94="N/A",0,3*E94)</f>
        <v>9</v>
      </c>
      <c r="J94" s="4" t="str">
        <f>IF(F94="","Sin evaluar (núcleo, cuenta como 0) – "&amp;INDEX(Rubricas!$F$4:$F$112,MATCH(A94,Rubricas!$A$4:$A$112,0)),IF(F94="N/A","⚠ Este criterio no admite N/A: calificar de 0 a 3.",IF(F94&lt;=1,INDEX(Rubricas!$O$4:$O$112,MATCH(A94,Rubricas!$A$4:$A$112,0)),IF(F94=2,"Por completar o validar – "&amp;INDEX(Rubricas!$F$4:$F$112,MATCH(A94,Rubricas!$A$4:$A$112,0)),""))))</f>
        <v/>
      </c>
      <c r="K94" s="23">
        <f>IF(ISNUMBER(F94),IF(F94&lt;3,(3-F94)*E94*VLOOKUP(B94,Parametros!$A$5:$D$15,4,0)*100+ROW()/100000,0),IF(F94="",3*E94*VLOOKUP(B94,Parametros!$A$5:$D$15,4,0)*100+ROW()/100000,0))</f>
        <v>0</v>
      </c>
    </row>
    <row r="95" spans="1:11" ht="54" customHeight="1">
      <c r="A95" s="9" t="s">
        <v>269</v>
      </c>
      <c r="B95" s="9" t="s">
        <v>56</v>
      </c>
      <c r="C95" s="4" t="s">
        <v>260</v>
      </c>
      <c r="D95" s="4" t="s">
        <v>1320</v>
      </c>
      <c r="E95" s="19">
        <f>INDEX(Rubricas!$M$4:$M$112,MATCH(A95,Rubricas!$A$4:$A$112,0))</f>
        <v>3</v>
      </c>
      <c r="F95" s="22">
        <v>2</v>
      </c>
      <c r="G95" s="17" t="s">
        <v>1438</v>
      </c>
      <c r="H95" s="9">
        <f>IF(ISNUMBER(F95),F95*E95,0)</f>
        <v>6</v>
      </c>
      <c r="I95" s="9">
        <f>IF(F95="N/A",0,3*E95)</f>
        <v>9</v>
      </c>
      <c r="J95" s="4" t="str">
        <f>IF(F95="","Sin evaluar (núcleo, cuenta como 0) – "&amp;INDEX(Rubricas!$F$4:$F$112,MATCH(A95,Rubricas!$A$4:$A$112,0)),IF(F95="N/A","⚠ Este criterio no admite N/A: calificar de 0 a 3.",IF(F95&lt;=1,INDEX(Rubricas!$O$4:$O$112,MATCH(A95,Rubricas!$A$4:$A$112,0)),IF(F95=2,"Por completar o validar – "&amp;INDEX(Rubricas!$F$4:$F$112,MATCH(A95,Rubricas!$A$4:$A$112,0)),""))))</f>
        <v>Por completar o validar – Arquetipo principal según esfuerzo</v>
      </c>
      <c r="K95" s="23">
        <f>IF(ISNUMBER(F95),IF(F95&lt;3,(3-F95)*E95*VLOOKUP(B95,Parametros!$A$5:$D$15,4,0)*100+ROW()/100000,0),IF(F95="",3*E95*VLOOKUP(B95,Parametros!$A$5:$D$15,4,0)*100+ROW()/100000,0))</f>
        <v>33.000950000000003</v>
      </c>
    </row>
    <row r="96" spans="1:11" ht="54" customHeight="1">
      <c r="A96" s="9" t="s">
        <v>277</v>
      </c>
      <c r="B96" s="9" t="s">
        <v>56</v>
      </c>
      <c r="C96" s="4" t="s">
        <v>278</v>
      </c>
      <c r="D96" s="4" t="s">
        <v>1321</v>
      </c>
      <c r="E96" s="19">
        <f>INDEX(Rubricas!$M$4:$M$112,MATCH(A96,Rubricas!$A$4:$A$112,0))</f>
        <v>2</v>
      </c>
      <c r="F96" s="22">
        <v>2</v>
      </c>
      <c r="G96" s="17" t="s">
        <v>1439</v>
      </c>
      <c r="H96" s="9">
        <f>IF(ISNUMBER(F96),F96*E96,0)</f>
        <v>4</v>
      </c>
      <c r="I96" s="9">
        <f>IF(F96="N/A",0,3*E96)</f>
        <v>6</v>
      </c>
      <c r="J96" s="4" t="str">
        <f>IF(F96="","Sin evaluar (núcleo, cuenta como 0) – "&amp;INDEX(Rubricas!$F$4:$F$112,MATCH(A96,Rubricas!$A$4:$A$112,0)),IF(F96="N/A","⚠ Este criterio no admite N/A: calificar de 0 a 3.",IF(F96&lt;=1,INDEX(Rubricas!$O$4:$O$112,MATCH(A96,Rubricas!$A$4:$A$112,0)),IF(F96=2,"Por completar o validar – "&amp;INDEX(Rubricas!$F$4:$F$112,MATCH(A96,Rubricas!$A$4:$A$112,0)),""))))</f>
        <v>Por completar o validar – Distribución del alcance por arquetipo</v>
      </c>
      <c r="K96" s="23">
        <f>IF(ISNUMBER(F96),IF(F96&lt;3,(3-F96)*E96*VLOOKUP(B96,Parametros!$A$5:$D$15,4,0)*100+ROW()/100000,0),IF(F96="",3*E96*VLOOKUP(B96,Parametros!$A$5:$D$15,4,0)*100+ROW()/100000,0))</f>
        <v>22.000959999999999</v>
      </c>
    </row>
    <row r="97" spans="1:11" ht="54" customHeight="1">
      <c r="A97" s="9" t="s">
        <v>287</v>
      </c>
      <c r="B97" s="9" t="s">
        <v>56</v>
      </c>
      <c r="C97" s="4" t="s">
        <v>278</v>
      </c>
      <c r="D97" s="4" t="s">
        <v>1322</v>
      </c>
      <c r="E97" s="19">
        <f>INDEX(Rubricas!$M$4:$M$112,MATCH(A97,Rubricas!$A$4:$A$112,0))</f>
        <v>2</v>
      </c>
      <c r="F97" s="22">
        <v>2</v>
      </c>
      <c r="G97" s="17" t="s">
        <v>1440</v>
      </c>
      <c r="H97" s="9">
        <f>IF(ISNUMBER(F97),F97*E97,0)</f>
        <v>4</v>
      </c>
      <c r="I97" s="9">
        <f>IF(F97="N/A",0,3*E97)</f>
        <v>6</v>
      </c>
      <c r="J97" s="4" t="str">
        <f>IF(F97="","Sin evaluar (núcleo, cuenta como 0) – "&amp;INDEX(Rubricas!$F$4:$F$112,MATCH(A97,Rubricas!$A$4:$A$112,0)),IF(F97="N/A","⚠ Este criterio no admite N/A: calificar de 0 a 3.",IF(F97&lt;=1,INDEX(Rubricas!$O$4:$O$112,MATCH(A97,Rubricas!$A$4:$A$112,0)),IF(F97=2,"Por completar o validar – "&amp;INDEX(Rubricas!$F$4:$F$112,MATCH(A97,Rubricas!$A$4:$A$112,0)),""))))</f>
        <v>Por completar o validar – Arquetipos secundarios</v>
      </c>
      <c r="K97" s="23">
        <f>IF(ISNUMBER(F97),IF(F97&lt;3,(3-F97)*E97*VLOOKUP(B97,Parametros!$A$5:$D$15,4,0)*100+ROW()/100000,0),IF(F97="",3*E97*VLOOKUP(B97,Parametros!$A$5:$D$15,4,0)*100+ROW()/100000,0))</f>
        <v>22.000969999999999</v>
      </c>
    </row>
    <row r="98" spans="1:11" ht="54" customHeight="1">
      <c r="A98" s="9" t="s">
        <v>296</v>
      </c>
      <c r="B98" s="9" t="s">
        <v>56</v>
      </c>
      <c r="C98" s="4" t="s">
        <v>297</v>
      </c>
      <c r="D98" s="4" t="s">
        <v>1323</v>
      </c>
      <c r="E98" s="19">
        <f>INDEX(Rubricas!$M$4:$M$112,MATCH(A98,Rubricas!$A$4:$A$112,0))</f>
        <v>1</v>
      </c>
      <c r="F98" s="22">
        <v>2</v>
      </c>
      <c r="G98" s="17" t="s">
        <v>1441</v>
      </c>
      <c r="H98" s="9">
        <f>IF(ISNUMBER(F98),F98*E98,0)</f>
        <v>2</v>
      </c>
      <c r="I98" s="9">
        <f>IF(F98="N/A",0,3*E98)</f>
        <v>3</v>
      </c>
      <c r="J98" s="4" t="str">
        <f>IF(F98="","Sin evaluar (núcleo, cuenta como 0) – "&amp;INDEX(Rubricas!$F$4:$F$112,MATCH(A98,Rubricas!$A$4:$A$112,0)),IF(F98="N/A","⚠ Este criterio no admite N/A: calificar de 0 a 3.",IF(F98&lt;=1,INDEX(Rubricas!$O$4:$O$112,MATCH(A98,Rubricas!$A$4:$A$112,0)),IF(F98=2,"Por completar o validar – "&amp;INDEX(Rubricas!$F$4:$F$112,MATCH(A98,Rubricas!$A$4:$A$112,0)),""))))</f>
        <v>Por completar o validar – Independencia del nombre comercial</v>
      </c>
      <c r="K98" s="23">
        <f>IF(ISNUMBER(F98),IF(F98&lt;3,(3-F98)*E98*VLOOKUP(B98,Parametros!$A$5:$D$15,4,0)*100+ROW()/100000,0),IF(F98="",3*E98*VLOOKUP(B98,Parametros!$A$5:$D$15,4,0)*100+ROW()/100000,0))</f>
        <v>11.00098</v>
      </c>
    </row>
    <row r="99" spans="1:11" ht="54" customHeight="1">
      <c r="A99" s="9" t="s">
        <v>306</v>
      </c>
      <c r="B99" s="9" t="s">
        <v>56</v>
      </c>
      <c r="C99" s="4" t="s">
        <v>307</v>
      </c>
      <c r="D99" s="4" t="s">
        <v>1324</v>
      </c>
      <c r="E99" s="19">
        <f>INDEX(Rubricas!$M$4:$M$112,MATCH(A99,Rubricas!$A$4:$A$112,0))</f>
        <v>3</v>
      </c>
      <c r="F99" s="22">
        <v>2</v>
      </c>
      <c r="G99" s="17" t="s">
        <v>1442</v>
      </c>
      <c r="H99" s="9">
        <f>IF(ISNUMBER(F99),F99*E99,0)</f>
        <v>6</v>
      </c>
      <c r="I99" s="9">
        <f>IF(F99="N/A",0,3*E99)</f>
        <v>9</v>
      </c>
      <c r="J99" s="4" t="str">
        <f>IF(F99="","Sin evaluar (núcleo, cuenta como 0) – "&amp;INDEX(Rubricas!$F$4:$F$112,MATCH(A99,Rubricas!$A$4:$A$112,0)),IF(F99="N/A","⚠ Este criterio no admite N/A: calificar de 0 a 3.",IF(F99&lt;=1,INDEX(Rubricas!$O$4:$O$112,MATCH(A99,Rubricas!$A$4:$A$112,0)),IF(F99=2,"Por completar o validar – "&amp;INDEX(Rubricas!$F$4:$F$112,MATCH(A99,Rubricas!$A$4:$A$112,0)),""))))</f>
        <v>Por completar o validar – Drivers del arquetipo principal</v>
      </c>
      <c r="K99" s="23">
        <f>IF(ISNUMBER(F99),IF(F99&lt;3,(3-F99)*E99*VLOOKUP(B99,Parametros!$A$5:$D$15,4,0)*100+ROW()/100000,0),IF(F99="",3*E99*VLOOKUP(B99,Parametros!$A$5:$D$15,4,0)*100+ROW()/100000,0))</f>
        <v>33.000990000000002</v>
      </c>
    </row>
    <row r="100" spans="1:11" ht="54" customHeight="1">
      <c r="A100" s="9" t="s">
        <v>315</v>
      </c>
      <c r="B100" s="9" t="s">
        <v>56</v>
      </c>
      <c r="C100" s="4" t="s">
        <v>307</v>
      </c>
      <c r="D100" s="4" t="s">
        <v>1325</v>
      </c>
      <c r="E100" s="19">
        <f>INDEX(Rubricas!$M$4:$M$112,MATCH(A100,Rubricas!$A$4:$A$112,0))</f>
        <v>2</v>
      </c>
      <c r="F100" s="22">
        <v>1</v>
      </c>
      <c r="G100" s="17" t="s">
        <v>1443</v>
      </c>
      <c r="H100" s="9">
        <f>IF(ISNUMBER(F100),F100*E100,0)</f>
        <v>2</v>
      </c>
      <c r="I100" s="9">
        <f>IF(F100="N/A",0,3*E100)</f>
        <v>6</v>
      </c>
      <c r="J100" s="4" t="str">
        <f>IF(F100="","Sin evaluar (núcleo, cuenta como 0) – "&amp;INDEX(Rubricas!$F$4:$F$112,MATCH(A100,Rubricas!$A$4:$A$112,0)),IF(F100="N/A","",IF(F100&lt;=1,INDEX(Rubricas!$O$4:$O$112,MATCH(A100,Rubricas!$A$4:$A$112,0)),IF(F100=2,"Por completar o validar – "&amp;INDEX(Rubricas!$F$4:$F$112,MATCH(A100,Rubricas!$A$4:$A$112,0)),""))))</f>
        <v>Los drivers de los arquetipos secundarios no están cuantificados.</v>
      </c>
      <c r="K100" s="23">
        <f>IF(ISNUMBER(F100),IF(F100&lt;3,(3-F100)*E100*VLOOKUP(B100,Parametros!$A$5:$D$15,4,0)*100+ROW()/100000,0),IF(F100="",3*E100*VLOOKUP(B100,Parametros!$A$5:$D$15,4,0)*100+ROW()/100000,0))</f>
        <v>44.000999999999998</v>
      </c>
    </row>
    <row r="101" spans="1:11" ht="54" customHeight="1">
      <c r="A101" s="9" t="s">
        <v>322</v>
      </c>
      <c r="B101" s="9" t="s">
        <v>56</v>
      </c>
      <c r="C101" s="4" t="s">
        <v>260</v>
      </c>
      <c r="D101" s="4" t="s">
        <v>1326</v>
      </c>
      <c r="E101" s="19">
        <f>INDEX(Rubricas!$M$4:$M$112,MATCH(A101,Rubricas!$A$4:$A$112,0))</f>
        <v>2</v>
      </c>
      <c r="F101" s="22">
        <v>3</v>
      </c>
      <c r="G101" s="17" t="s">
        <v>1444</v>
      </c>
      <c r="H101" s="9">
        <f>IF(ISNUMBER(F101),F101*E101,0)</f>
        <v>6</v>
      </c>
      <c r="I101" s="9">
        <f>IF(F101="N/A",0,3*E101)</f>
        <v>6</v>
      </c>
      <c r="J101" s="4" t="str">
        <f>IF(F101="","Sin evaluar (núcleo, cuenta como 0) – "&amp;INDEX(Rubricas!$F$4:$F$112,MATCH(A101,Rubricas!$A$4:$A$112,0)),IF(F101="N/A","⚠ Este criterio no admite N/A: calificar de 0 a 3.",IF(F101&lt;=1,INDEX(Rubricas!$O$4:$O$112,MATCH(A101,Rubricas!$A$4:$A$112,0)),IF(F101=2,"Por completar o validar – "&amp;INDEX(Rubricas!$F$4:$F$112,MATCH(A101,Rubricas!$A$4:$A$112,0)),""))))</f>
        <v/>
      </c>
      <c r="K101" s="23">
        <f>IF(ISNUMBER(F101),IF(F101&lt;3,(3-F101)*E101*VLOOKUP(B101,Parametros!$A$5:$D$15,4,0)*100+ROW()/100000,0),IF(F101="",3*E101*VLOOKUP(B101,Parametros!$A$5:$D$15,4,0)*100+ROW()/100000,0))</f>
        <v>0</v>
      </c>
    </row>
    <row r="102" spans="1:11" ht="54" customHeight="1">
      <c r="A102" s="9" t="s">
        <v>330</v>
      </c>
      <c r="B102" s="9" t="s">
        <v>56</v>
      </c>
      <c r="C102" s="4" t="s">
        <v>278</v>
      </c>
      <c r="D102" s="4" t="s">
        <v>1327</v>
      </c>
      <c r="E102" s="19">
        <f>INDEX(Rubricas!$M$4:$M$112,MATCH(A102,Rubricas!$A$4:$A$112,0))</f>
        <v>2</v>
      </c>
      <c r="F102" s="22">
        <v>2</v>
      </c>
      <c r="G102" s="17" t="s">
        <v>1445</v>
      </c>
      <c r="H102" s="9">
        <f>IF(ISNUMBER(F102),F102*E102,0)</f>
        <v>4</v>
      </c>
      <c r="I102" s="9">
        <f>IF(F102="N/A",0,3*E102)</f>
        <v>6</v>
      </c>
      <c r="J102" s="4" t="str">
        <f>IF(F102="","Sin evaluar (núcleo, cuenta como 0) – "&amp;INDEX(Rubricas!$F$4:$F$112,MATCH(A102,Rubricas!$A$4:$A$112,0)),IF(F102="N/A","",IF(F102&lt;=1,INDEX(Rubricas!$O$4:$O$112,MATCH(A102,Rubricas!$A$4:$A$112,0)),IF(F102=2,"Por completar o validar – "&amp;INDEX(Rubricas!$F$4:$F$112,MATCH(A102,Rubricas!$A$4:$A$112,0)),""))))</f>
        <v>Por completar o validar – Componentes de terceros / SaaS</v>
      </c>
      <c r="K102" s="23">
        <f>IF(ISNUMBER(F102),IF(F102&lt;3,(3-F102)*E102*VLOOKUP(B102,Parametros!$A$5:$D$15,4,0)*100+ROW()/100000,0),IF(F102="",3*E102*VLOOKUP(B102,Parametros!$A$5:$D$15,4,0)*100+ROW()/100000,0))</f>
        <v>22.00102</v>
      </c>
    </row>
    <row r="103" spans="1:11" ht="54" customHeight="1">
      <c r="A103" s="9" t="s">
        <v>338</v>
      </c>
      <c r="B103" s="9" t="s">
        <v>56</v>
      </c>
      <c r="C103" s="4" t="s">
        <v>278</v>
      </c>
      <c r="D103" s="4" t="s">
        <v>1328</v>
      </c>
      <c r="E103" s="19">
        <f>INDEX(Rubricas!$M$4:$M$112,MATCH(A103,Rubricas!$A$4:$A$112,0))</f>
        <v>1</v>
      </c>
      <c r="F103" s="22">
        <v>1</v>
      </c>
      <c r="G103" s="17" t="s">
        <v>1446</v>
      </c>
      <c r="H103" s="9">
        <f>IF(ISNUMBER(F103),F103*E103,0)</f>
        <v>1</v>
      </c>
      <c r="I103" s="9">
        <f>IF(F103="N/A",0,3*E103)</f>
        <v>3</v>
      </c>
      <c r="J103" s="4" t="str">
        <f>IF(F103="","Sin evaluar (núcleo, cuenta como 0) – "&amp;INDEX(Rubricas!$F$4:$F$112,MATCH(A103,Rubricas!$A$4:$A$112,0)),IF(F103="N/A","⚠ Este criterio no admite N/A: calificar de 0 a 3.",IF(F103&lt;=1,INDEX(Rubricas!$O$4:$O$112,MATCH(A103,Rubricas!$A$4:$A$112,0)),IF(F103=2,"Por completar o validar – "&amp;INDEX(Rubricas!$F$4:$F$112,MATCH(A103,Rubricas!$A$4:$A$112,0)),""))))</f>
        <v>Entregables que no son funcionalidad están mezclados con el alcance de software; deben estimarse por separado.</v>
      </c>
      <c r="K103" s="23">
        <f>IF(ISNUMBER(F103),IF(F103&lt;3,(3-F103)*E103*VLOOKUP(B103,Parametros!$A$5:$D$15,4,0)*100+ROW()/100000,0),IF(F103="",3*E103*VLOOKUP(B103,Parametros!$A$5:$D$15,4,0)*100+ROW()/100000,0))</f>
        <v>22.00103</v>
      </c>
    </row>
    <row r="104" spans="1:11" ht="54" customHeight="1">
      <c r="A104" s="9" t="s">
        <v>347</v>
      </c>
      <c r="B104" s="9" t="s">
        <v>56</v>
      </c>
      <c r="C104" s="4" t="s">
        <v>297</v>
      </c>
      <c r="D104" s="4" t="s">
        <v>1329</v>
      </c>
      <c r="E104" s="19">
        <f>INDEX(Rubricas!$M$4:$M$112,MATCH(A104,Rubricas!$A$4:$A$112,0))</f>
        <v>1</v>
      </c>
      <c r="F104" s="22">
        <v>3</v>
      </c>
      <c r="G104" s="17" t="s">
        <v>1447</v>
      </c>
      <c r="H104" s="9">
        <f>IF(ISNUMBER(F104),F104*E104,0)</f>
        <v>3</v>
      </c>
      <c r="I104" s="9">
        <f>IF(F104="N/A",0,3*E104)</f>
        <v>3</v>
      </c>
      <c r="J104" s="4" t="str">
        <f>IF(F104="","Sin evaluar (núcleo, cuenta como 0) – "&amp;INDEX(Rubricas!$F$4:$F$112,MATCH(A104,Rubricas!$A$4:$A$112,0)),IF(F104="N/A","",IF(F104&lt;=1,INDEX(Rubricas!$O$4:$O$112,MATCH(A104,Rubricas!$A$4:$A$112,0)),IF(F104=2,"Por completar o validar – "&amp;INDEX(Rubricas!$F$4:$F$112,MATCH(A104,Rubricas!$A$4:$A$112,0)),""))))</f>
        <v/>
      </c>
      <c r="K104" s="23">
        <f>IF(ISNUMBER(F104),IF(F104&lt;3,(3-F104)*E104*VLOOKUP(B104,Parametros!$A$5:$D$15,4,0)*100+ROW()/100000,0),IF(F104="",3*E104*VLOOKUP(B104,Parametros!$A$5:$D$15,4,0)*100+ROW()/100000,0))</f>
        <v>0</v>
      </c>
    </row>
    <row r="105" spans="1:11" ht="54" customHeight="1">
      <c r="A105" s="9" t="s">
        <v>356</v>
      </c>
      <c r="B105" s="9" t="s">
        <v>56</v>
      </c>
      <c r="C105" s="4" t="s">
        <v>297</v>
      </c>
      <c r="D105" s="4" t="s">
        <v>1330</v>
      </c>
      <c r="E105" s="19">
        <f>INDEX(Rubricas!$M$4:$M$112,MATCH(A105,Rubricas!$A$4:$A$112,0))</f>
        <v>1</v>
      </c>
      <c r="F105" s="22">
        <v>2</v>
      </c>
      <c r="G105" s="17" t="s">
        <v>1448</v>
      </c>
      <c r="H105" s="9">
        <f>IF(ISNUMBER(F105),F105*E105,0)</f>
        <v>2</v>
      </c>
      <c r="I105" s="9">
        <f>IF(F105="N/A",0,3*E105)</f>
        <v>3</v>
      </c>
      <c r="J105" s="4" t="str">
        <f>IF(F105="","Sin evaluar (núcleo, cuenta como 0) – "&amp;INDEX(Rubricas!$F$4:$F$112,MATCH(A105,Rubricas!$A$4:$A$112,0)),IF(F105="N/A","⚠ Este criterio no admite N/A: calificar de 0 a 3.",IF(F105&lt;=1,INDEX(Rubricas!$O$4:$O$112,MATCH(A105,Rubricas!$A$4:$A$112,0)),IF(F105=2,"Por completar o validar – "&amp;INDEX(Rubricas!$F$4:$F$112,MATCH(A105,Rubricas!$A$4:$A$112,0)),""))))</f>
        <v>Por completar o validar – Clasificación validada</v>
      </c>
      <c r="K105" s="23">
        <f>IF(ISNUMBER(F105),IF(F105&lt;3,(3-F105)*E105*VLOOKUP(B105,Parametros!$A$5:$D$15,4,0)*100+ROW()/100000,0),IF(F105="",3*E105*VLOOKUP(B105,Parametros!$A$5:$D$15,4,0)*100+ROW()/100000,0))</f>
        <v>11.001049999999999</v>
      </c>
    </row>
    <row r="106" spans="1:11">
      <c r="A106" s="28" t="str">
        <f>"D3 · Tamaño funcional — Núcleo · peso "&amp;TEXT(Parametros!$D$7,"0%")&amp;" · 14 criterios"</f>
        <v>D3 · Tamaño funcional — Núcleo · peso 18% · 14 criterios</v>
      </c>
      <c r="B106" s="28"/>
      <c r="C106" s="28"/>
      <c r="D106" s="28"/>
      <c r="E106" s="28"/>
      <c r="F106" s="28"/>
      <c r="G106" s="28"/>
      <c r="H106" s="28"/>
      <c r="I106" s="28"/>
      <c r="J106" s="28"/>
      <c r="K106" s="28"/>
    </row>
    <row r="107" spans="1:11" ht="54" customHeight="1">
      <c r="A107" s="9" t="s">
        <v>365</v>
      </c>
      <c r="B107" s="9" t="s">
        <v>63</v>
      </c>
      <c r="C107" s="4" t="s">
        <v>366</v>
      </c>
      <c r="D107" s="4" t="s">
        <v>1331</v>
      </c>
      <c r="E107" s="19">
        <f>INDEX(Rubricas!$M$4:$M$112,MATCH(A107,Rubricas!$A$4:$A$112,0))</f>
        <v>3</v>
      </c>
      <c r="F107" s="22">
        <v>2</v>
      </c>
      <c r="G107" s="17" t="s">
        <v>1449</v>
      </c>
      <c r="H107" s="9">
        <f>IF(ISNUMBER(F107),F107*E107,0)</f>
        <v>6</v>
      </c>
      <c r="I107" s="9">
        <f>IF(F107="N/A",0,3*E107)</f>
        <v>9</v>
      </c>
      <c r="J107" s="4" t="str">
        <f>IF(F107="","Sin evaluar (núcleo, cuenta como 0) – "&amp;INDEX(Rubricas!$F$4:$F$112,MATCH(A107,Rubricas!$A$4:$A$112,0)),IF(F107="N/A","⚠ Este criterio no admite N/A: calificar de 0 a 3.",IF(F107&lt;=1,INDEX(Rubricas!$O$4:$O$112,MATCH(A107,Rubricas!$A$4:$A$112,0)),IF(F107=2,"Por completar o validar – "&amp;INDEX(Rubricas!$F$4:$F$112,MATCH(A107,Rubricas!$A$4:$A$112,0)),""))))</f>
        <v>Por completar o validar – Propósito y alcance de la medición</v>
      </c>
      <c r="K107" s="23">
        <f>IF(ISNUMBER(F107),IF(F107&lt;3,(3-F107)*E107*VLOOKUP(B107,Parametros!$A$5:$D$15,4,0)*100+ROW()/100000,0),IF(F107="",3*E107*VLOOKUP(B107,Parametros!$A$5:$D$15,4,0)*100+ROW()/100000,0))</f>
        <v>54.001069999999999</v>
      </c>
    </row>
    <row r="108" spans="1:11" ht="54" customHeight="1">
      <c r="A108" s="9" t="s">
        <v>374</v>
      </c>
      <c r="B108" s="9" t="s">
        <v>63</v>
      </c>
      <c r="C108" s="4" t="s">
        <v>366</v>
      </c>
      <c r="D108" s="4" t="s">
        <v>1332</v>
      </c>
      <c r="E108" s="19">
        <f>INDEX(Rubricas!$M$4:$M$112,MATCH(A108,Rubricas!$A$4:$A$112,0))</f>
        <v>2</v>
      </c>
      <c r="F108" s="22">
        <v>1</v>
      </c>
      <c r="G108" s="17" t="s">
        <v>1450</v>
      </c>
      <c r="H108" s="9">
        <f>IF(ISNUMBER(F108),F108*E108,0)</f>
        <v>2</v>
      </c>
      <c r="I108" s="9">
        <f>IF(F108="N/A",0,3*E108)</f>
        <v>6</v>
      </c>
      <c r="J108" s="4" t="str">
        <f>IF(F108="","Sin evaluar (núcleo, cuenta como 0) – "&amp;INDEX(Rubricas!$F$4:$F$112,MATCH(A108,Rubricas!$A$4:$A$112,0)),IF(F108="N/A","⚠ Este criterio no admite N/A: calificar de 0 a 3.",IF(F108&lt;=1,INDEX(Rubricas!$O$4:$O$112,MATCH(A108,Rubricas!$A$4:$A$112,0)),IF(F108=2,"Por completar o validar – "&amp;INDEX(Rubricas!$F$4:$F$112,MATCH(A108,Rubricas!$A$4:$A$112,0)),""))))</f>
        <v>La granularidad de los requisitos es heterogénea; medir con requisitos a distinto nivel genera errores de tamaño. Normalizar al nivel de proceso funcional.</v>
      </c>
      <c r="K108" s="23">
        <f>IF(ISNUMBER(F108),IF(F108&lt;3,(3-F108)*E108*VLOOKUP(B108,Parametros!$A$5:$D$15,4,0)*100+ROW()/100000,0),IF(F108="",3*E108*VLOOKUP(B108,Parametros!$A$5:$D$15,4,0)*100+ROW()/100000,0))</f>
        <v>72.001080000000002</v>
      </c>
    </row>
    <row r="109" spans="1:11" ht="54" customHeight="1">
      <c r="A109" s="9" t="s">
        <v>383</v>
      </c>
      <c r="B109" s="9" t="s">
        <v>63</v>
      </c>
      <c r="C109" s="4" t="s">
        <v>384</v>
      </c>
      <c r="D109" s="4" t="s">
        <v>1333</v>
      </c>
      <c r="E109" s="19">
        <f>INDEX(Rubricas!$M$4:$M$112,MATCH(A109,Rubricas!$A$4:$A$112,0))</f>
        <v>3</v>
      </c>
      <c r="F109" s="22">
        <v>2</v>
      </c>
      <c r="G109" s="17" t="s">
        <v>1451</v>
      </c>
      <c r="H109" s="9">
        <f>IF(ISNUMBER(F109),F109*E109,0)</f>
        <v>6</v>
      </c>
      <c r="I109" s="9">
        <f>IF(F109="N/A",0,3*E109)</f>
        <v>9</v>
      </c>
      <c r="J109" s="4" t="str">
        <f>IF(F109="","Sin evaluar (núcleo, cuenta como 0) – "&amp;INDEX(Rubricas!$F$4:$F$112,MATCH(A109,Rubricas!$A$4:$A$112,0)),IF(F109="N/A","⚠ Este criterio no admite N/A: calificar de 0 a 3.",IF(F109&lt;=1,INDEX(Rubricas!$O$4:$O$112,MATCH(A109,Rubricas!$A$4:$A$112,0)),IF(F109=2,"Por completar o validar – "&amp;INDEX(Rubricas!$F$4:$F$112,MATCH(A109,Rubricas!$A$4:$A$112,0)),""))))</f>
        <v>Por completar o validar – Usuarios funcionales identificados</v>
      </c>
      <c r="K109" s="23">
        <f>IF(ISNUMBER(F109),IF(F109&lt;3,(3-F109)*E109*VLOOKUP(B109,Parametros!$A$5:$D$15,4,0)*100+ROW()/100000,0),IF(F109="",3*E109*VLOOKUP(B109,Parametros!$A$5:$D$15,4,0)*100+ROW()/100000,0))</f>
        <v>54.001089999999998</v>
      </c>
    </row>
    <row r="110" spans="1:11" ht="54" customHeight="1">
      <c r="A110" s="9" t="s">
        <v>391</v>
      </c>
      <c r="B110" s="9" t="s">
        <v>63</v>
      </c>
      <c r="C110" s="4" t="s">
        <v>392</v>
      </c>
      <c r="D110" s="4" t="s">
        <v>1334</v>
      </c>
      <c r="E110" s="19">
        <f>INDEX(Rubricas!$M$4:$M$112,MATCH(A110,Rubricas!$A$4:$A$112,0))</f>
        <v>2</v>
      </c>
      <c r="F110" s="22">
        <v>1</v>
      </c>
      <c r="G110" s="17" t="s">
        <v>1452</v>
      </c>
      <c r="H110" s="9">
        <f>IF(ISNUMBER(F110),F110*E110,0)</f>
        <v>2</v>
      </c>
      <c r="I110" s="9">
        <f>IF(F110="N/A",0,3*E110)</f>
        <v>6</v>
      </c>
      <c r="J110" s="4" t="str">
        <f>IF(F110="","Sin evaluar (núcleo, cuenta como 0) – "&amp;INDEX(Rubricas!$F$4:$F$112,MATCH(A110,Rubricas!$A$4:$A$112,0)),IF(F110="N/A","⚠ Este criterio no admite N/A: calificar de 0 a 3.",IF(F110&lt;=1,INDEX(Rubricas!$O$4:$O$112,MATCH(A110,Rubricas!$A$4:$A$112,0)),IF(F110=2,"Por completar o validar – "&amp;INDEX(Rubricas!$F$4:$F$112,MATCH(A110,Rubricas!$A$4:$A$112,0)),""))))</f>
        <v>No se identifican los eventos desencadenantes; es la base para delimitar correctamente cada proceso funcional.</v>
      </c>
      <c r="K110" s="23">
        <f>IF(ISNUMBER(F110),IF(F110&lt;3,(3-F110)*E110*VLOOKUP(B110,Parametros!$A$5:$D$15,4,0)*100+ROW()/100000,0),IF(F110="",3*E110*VLOOKUP(B110,Parametros!$A$5:$D$15,4,0)*100+ROW()/100000,0))</f>
        <v>72.001099999999994</v>
      </c>
    </row>
    <row r="111" spans="1:11" ht="54" customHeight="1">
      <c r="A111" s="9" t="s">
        <v>400</v>
      </c>
      <c r="B111" s="9" t="s">
        <v>63</v>
      </c>
      <c r="C111" s="4" t="s">
        <v>392</v>
      </c>
      <c r="D111" s="4" t="s">
        <v>1335</v>
      </c>
      <c r="E111" s="19">
        <f>INDEX(Rubricas!$M$4:$M$112,MATCH(A111,Rubricas!$A$4:$A$112,0))</f>
        <v>3</v>
      </c>
      <c r="F111" s="22">
        <v>2</v>
      </c>
      <c r="G111" s="17" t="s">
        <v>1453</v>
      </c>
      <c r="H111" s="9">
        <f>IF(ISNUMBER(F111),F111*E111,0)</f>
        <v>6</v>
      </c>
      <c r="I111" s="9">
        <f>IF(F111="N/A",0,3*E111)</f>
        <v>9</v>
      </c>
      <c r="J111" s="4" t="str">
        <f>IF(F111="","Sin evaluar (núcleo, cuenta como 0) – "&amp;INDEX(Rubricas!$F$4:$F$112,MATCH(A111,Rubricas!$A$4:$A$112,0)),IF(F111="N/A","⚠ Este criterio no admite N/A: calificar de 0 a 3.",IF(F111&lt;=1,INDEX(Rubricas!$O$4:$O$112,MATCH(A111,Rubricas!$A$4:$A$112,0)),IF(F111=2,"Por completar o validar – "&amp;INDEX(Rubricas!$F$4:$F$112,MATCH(A111,Rubricas!$A$4:$A$112,0)),""))))</f>
        <v>Por completar o validar – Inventario de procesos funcionales</v>
      </c>
      <c r="K111" s="23">
        <f>IF(ISNUMBER(F111),IF(F111&lt;3,(3-F111)*E111*VLOOKUP(B111,Parametros!$A$5:$D$15,4,0)*100+ROW()/100000,0),IF(F111="",3*E111*VLOOKUP(B111,Parametros!$A$5:$D$15,4,0)*100+ROW()/100000,0))</f>
        <v>54.001109999999997</v>
      </c>
    </row>
    <row r="112" spans="1:11" ht="54" customHeight="1">
      <c r="A112" s="9" t="s">
        <v>409</v>
      </c>
      <c r="B112" s="9" t="s">
        <v>63</v>
      </c>
      <c r="C112" s="4" t="s">
        <v>410</v>
      </c>
      <c r="D112" s="4" t="s">
        <v>1336</v>
      </c>
      <c r="E112" s="19">
        <f>INDEX(Rubricas!$M$4:$M$112,MATCH(A112,Rubricas!$A$4:$A$112,0))</f>
        <v>2</v>
      </c>
      <c r="F112" s="22">
        <v>2</v>
      </c>
      <c r="G112" s="17" t="s">
        <v>1454</v>
      </c>
      <c r="H112" s="9">
        <f>IF(ISNUMBER(F112),F112*E112,0)</f>
        <v>4</v>
      </c>
      <c r="I112" s="9">
        <f>IF(F112="N/A",0,3*E112)</f>
        <v>6</v>
      </c>
      <c r="J112" s="4" t="str">
        <f>IF(F112="","Sin evaluar (núcleo, cuenta como 0) – "&amp;INDEX(Rubricas!$F$4:$F$112,MATCH(A112,Rubricas!$A$4:$A$112,0)),IF(F112="N/A","⚠ Este criterio no admite N/A: calificar de 0 a 3.",IF(F112&lt;=1,INDEX(Rubricas!$O$4:$O$112,MATCH(A112,Rubricas!$A$4:$A$112,0)),IF(F112=2,"Por completar o validar – "&amp;INDEX(Rubricas!$F$4:$F$112,MATCH(A112,Rubricas!$A$4:$A$112,0)),""))))</f>
        <v>Por completar o validar – Objetos de interés y grupos de datos</v>
      </c>
      <c r="K112" s="23">
        <f>IF(ISNUMBER(F112),IF(F112&lt;3,(3-F112)*E112*VLOOKUP(B112,Parametros!$A$5:$D$15,4,0)*100+ROW()/100000,0),IF(F112="",3*E112*VLOOKUP(B112,Parametros!$A$5:$D$15,4,0)*100+ROW()/100000,0))</f>
        <v>36.00112</v>
      </c>
    </row>
    <row r="113" spans="1:11" ht="54" customHeight="1">
      <c r="A113" s="9" t="s">
        <v>418</v>
      </c>
      <c r="B113" s="9" t="s">
        <v>63</v>
      </c>
      <c r="C113" s="4" t="s">
        <v>419</v>
      </c>
      <c r="D113" s="4" t="s">
        <v>1337</v>
      </c>
      <c r="E113" s="19">
        <f>INDEX(Rubricas!$M$4:$M$112,MATCH(A113,Rubricas!$A$4:$A$112,0))</f>
        <v>3</v>
      </c>
      <c r="F113" s="22">
        <v>1</v>
      </c>
      <c r="G113" s="17" t="s">
        <v>1455</v>
      </c>
      <c r="H113" s="9">
        <f>IF(ISNUMBER(F113),F113*E113,0)</f>
        <v>3</v>
      </c>
      <c r="I113" s="9">
        <f>IF(F113="N/A",0,3*E113)</f>
        <v>9</v>
      </c>
      <c r="J113" s="4" t="str">
        <f>IF(F113="","Sin evaluar (núcleo, cuenta como 0) – "&amp;INDEX(Rubricas!$F$4:$F$112,MATCH(A113,Rubricas!$A$4:$A$112,0)),IF(F113="N/A","⚠ Este criterio no admite N/A: calificar de 0 a 3.",IF(F113&lt;=1,INDEX(Rubricas!$O$4:$O$112,MATCH(A113,Rubricas!$A$4:$A$112,0)),IF(F113=2,"Por completar o validar – "&amp;INDEX(Rubricas!$F$4:$F$112,MATCH(A113,Rubricas!$A$4:$A$112,0)),""))))</f>
        <v>No se identifican los movimientos de datos (Entradas, Salidas, Lecturas, Escrituras); el tamaño queda como aproximación. Medir al menos una muestra representativa.</v>
      </c>
      <c r="K113" s="23">
        <f>IF(ISNUMBER(F113),IF(F113&lt;3,(3-F113)*E113*VLOOKUP(B113,Parametros!$A$5:$D$15,4,0)*100+ROW()/100000,0),IF(F113="",3*E113*VLOOKUP(B113,Parametros!$A$5:$D$15,4,0)*100+ROW()/100000,0))</f>
        <v>108.00113</v>
      </c>
    </row>
    <row r="114" spans="1:11" ht="54" customHeight="1">
      <c r="A114" s="9" t="s">
        <v>427</v>
      </c>
      <c r="B114" s="9" t="s">
        <v>63</v>
      </c>
      <c r="C114" s="4" t="s">
        <v>428</v>
      </c>
      <c r="D114" s="4" t="s">
        <v>1338</v>
      </c>
      <c r="E114" s="19">
        <f>INDEX(Rubricas!$M$4:$M$112,MATCH(A114,Rubricas!$A$4:$A$112,0))</f>
        <v>3</v>
      </c>
      <c r="F114" s="22">
        <v>2</v>
      </c>
      <c r="G114" s="17" t="s">
        <v>1456</v>
      </c>
      <c r="H114" s="9">
        <f>IF(ISNUMBER(F114),F114*E114,0)</f>
        <v>6</v>
      </c>
      <c r="I114" s="9">
        <f>IF(F114="N/A",0,3*E114)</f>
        <v>9</v>
      </c>
      <c r="J114" s="4" t="str">
        <f>IF(F114="","Sin evaluar (núcleo, cuenta como 0) – "&amp;INDEX(Rubricas!$F$4:$F$112,MATCH(A114,Rubricas!$A$4:$A$112,0)),IF(F114="N/A","⚠ Este criterio no admite N/A: calificar de 0 a 3.",IF(F114&lt;=1,INDEX(Rubricas!$O$4:$O$112,MATCH(A114,Rubricas!$A$4:$A$112,0)),IF(F114=2,"Por completar o validar – "&amp;INDEX(Rubricas!$F$4:$F$112,MATCH(A114,Rubricas!$A$4:$A$112,0)),""))))</f>
        <v>Por completar o validar – Unidad objetiva y clase de tamaño</v>
      </c>
      <c r="K114" s="23">
        <f>IF(ISNUMBER(F114),IF(F114&lt;3,(3-F114)*E114*VLOOKUP(B114,Parametros!$A$5:$D$15,4,0)*100+ROW()/100000,0),IF(F114="",3*E114*VLOOKUP(B114,Parametros!$A$5:$D$15,4,0)*100+ROW()/100000,0))</f>
        <v>54.001139999999999</v>
      </c>
    </row>
    <row r="115" spans="1:11" ht="54" customHeight="1">
      <c r="A115" s="9" t="s">
        <v>437</v>
      </c>
      <c r="B115" s="9" t="s">
        <v>63</v>
      </c>
      <c r="C115" s="4" t="s">
        <v>428</v>
      </c>
      <c r="D115" s="4" t="s">
        <v>1339</v>
      </c>
      <c r="E115" s="19">
        <f>INDEX(Rubricas!$M$4:$M$112,MATCH(A115,Rubricas!$A$4:$A$112,0))</f>
        <v>2</v>
      </c>
      <c r="F115" s="22">
        <v>1</v>
      </c>
      <c r="G115" s="17" t="s">
        <v>1457</v>
      </c>
      <c r="H115" s="9">
        <f>IF(ISNUMBER(F115),F115*E115,0)</f>
        <v>2</v>
      </c>
      <c r="I115" s="9">
        <f>IF(F115="N/A",0,3*E115)</f>
        <v>6</v>
      </c>
      <c r="J115" s="4" t="str">
        <f>IF(F115="","Sin evaluar (núcleo, cuenta como 0) – "&amp;INDEX(Rubricas!$F$4:$F$112,MATCH(A115,Rubricas!$A$4:$A$112,0)),IF(F115="N/A","",IF(F115&lt;=1,INDEX(Rubricas!$O$4:$O$112,MATCH(A115,Rubricas!$A$4:$A$112,0)),IF(F115=2,"Por completar o validar – "&amp;INDEX(Rubricas!$F$4:$F$112,MATCH(A115,Rubricas!$A$4:$A$112,0)),""))))</f>
        <v>El tamaño del cambio no está desagregado en agregados, modificados y eliminados.</v>
      </c>
      <c r="K115" s="23">
        <f>IF(ISNUMBER(F115),IF(F115&lt;3,(3-F115)*E115*VLOOKUP(B115,Parametros!$A$5:$D$15,4,0)*100+ROW()/100000,0),IF(F115="",3*E115*VLOOKUP(B115,Parametros!$A$5:$D$15,4,0)*100+ROW()/100000,0))</f>
        <v>72.001149999999996</v>
      </c>
    </row>
    <row r="116" spans="1:11" ht="54" customHeight="1">
      <c r="A116" s="9" t="s">
        <v>446</v>
      </c>
      <c r="B116" s="9" t="s">
        <v>63</v>
      </c>
      <c r="C116" s="4" t="s">
        <v>447</v>
      </c>
      <c r="D116" s="4" t="s">
        <v>1340</v>
      </c>
      <c r="E116" s="19">
        <f>INDEX(Rubricas!$M$4:$M$112,MATCH(A116,Rubricas!$A$4:$A$112,0))</f>
        <v>2</v>
      </c>
      <c r="F116" s="22">
        <v>1</v>
      </c>
      <c r="G116" s="17" t="s">
        <v>1458</v>
      </c>
      <c r="H116" s="9">
        <f>IF(ISNUMBER(F116),F116*E116,0)</f>
        <v>2</v>
      </c>
      <c r="I116" s="9">
        <f>IF(F116="N/A",0,3*E116)</f>
        <v>6</v>
      </c>
      <c r="J116" s="4" t="str">
        <f>IF(F116="","Sin evaluar (núcleo, cuenta como 0) – "&amp;INDEX(Rubricas!$F$4:$F$112,MATCH(A116,Rubricas!$A$4:$A$112,0)),IF(F116="N/A","⚠ Este criterio no admite N/A: calificar de 0 a 3.",IF(F116&lt;=1,INDEX(Rubricas!$O$4:$O$112,MATCH(A116,Rubricas!$A$4:$A$112,0)),IF(F116=2,"Por completar o validar – "&amp;INDEX(Rubricas!$F$4:$F$112,MATCH(A116,Rubricas!$A$4:$A$112,0)),""))))</f>
        <v>Requisitos como auditoría, notificaciones o gestión de permisos no se trasladaron al tamaño funcional; suelen omitirse y generar subestimación.</v>
      </c>
      <c r="K116" s="23">
        <f>IF(ISNUMBER(F116),IF(F116&lt;3,(3-F116)*E116*VLOOKUP(B116,Parametros!$A$5:$D$15,4,0)*100+ROW()/100000,0),IF(F116="",3*E116*VLOOKUP(B116,Parametros!$A$5:$D$15,4,0)*100+ROW()/100000,0))</f>
        <v>72.001159999999999</v>
      </c>
    </row>
    <row r="117" spans="1:11" ht="54" customHeight="1">
      <c r="A117" s="9" t="s">
        <v>455</v>
      </c>
      <c r="B117" s="9" t="s">
        <v>63</v>
      </c>
      <c r="C117" s="4" t="s">
        <v>392</v>
      </c>
      <c r="D117" s="4" t="s">
        <v>1341</v>
      </c>
      <c r="E117" s="19">
        <f>INDEX(Rubricas!$M$4:$M$112,MATCH(A117,Rubricas!$A$4:$A$112,0))</f>
        <v>2</v>
      </c>
      <c r="F117" s="22">
        <v>2</v>
      </c>
      <c r="G117" s="17" t="s">
        <v>1459</v>
      </c>
      <c r="H117" s="9">
        <f>IF(ISNUMBER(F117),F117*E117,0)</f>
        <v>4</v>
      </c>
      <c r="I117" s="9">
        <f>IF(F117="N/A",0,3*E117)</f>
        <v>6</v>
      </c>
      <c r="J117" s="4" t="str">
        <f>IF(F117="","Sin evaluar (núcleo, cuenta como 0) – "&amp;INDEX(Rubricas!$F$4:$F$112,MATCH(A117,Rubricas!$A$4:$A$112,0)),IF(F117="N/A","⚠ Este criterio no admite N/A: calificar de 0 a 3.",IF(F117&lt;=1,INDEX(Rubricas!$O$4:$O$112,MATCH(A117,Rubricas!$A$4:$A$112,0)),IF(F117=2,"Por completar o validar – "&amp;INDEX(Rubricas!$F$4:$F$112,MATCH(A117,Rubricas!$A$4:$A$112,0)),""))))</f>
        <v>Por completar o validar – Funcionalidad de administración y soporte</v>
      </c>
      <c r="K117" s="23">
        <f>IF(ISNUMBER(F117),IF(F117&lt;3,(3-F117)*E117*VLOOKUP(B117,Parametros!$A$5:$D$15,4,0)*100+ROW()/100000,0),IF(F117="",3*E117*VLOOKUP(B117,Parametros!$A$5:$D$15,4,0)*100+ROW()/100000,0))</f>
        <v>36.001170000000002</v>
      </c>
    </row>
    <row r="118" spans="1:11" ht="54" customHeight="1">
      <c r="A118" s="9" t="s">
        <v>463</v>
      </c>
      <c r="B118" s="9" t="s">
        <v>63</v>
      </c>
      <c r="C118" s="4" t="s">
        <v>419</v>
      </c>
      <c r="D118" s="4" t="s">
        <v>1342</v>
      </c>
      <c r="E118" s="19">
        <f>INDEX(Rubricas!$M$4:$M$112,MATCH(A118,Rubricas!$A$4:$A$112,0))</f>
        <v>1</v>
      </c>
      <c r="F118" s="22">
        <v>1</v>
      </c>
      <c r="G118" s="17" t="s">
        <v>1460</v>
      </c>
      <c r="H118" s="9">
        <f>IF(ISNUMBER(F118),F118*E118,0)</f>
        <v>1</v>
      </c>
      <c r="I118" s="9">
        <f>IF(F118="N/A",0,3*E118)</f>
        <v>3</v>
      </c>
      <c r="J118" s="4" t="str">
        <f>IF(F118="","Sin evaluar (núcleo, cuenta como 0) – "&amp;INDEX(Rubricas!$F$4:$F$112,MATCH(A118,Rubricas!$A$4:$A$112,0)),IF(F118="N/A","⚠ Este criterio no admite N/A: calificar de 0 a 3.",IF(F118&lt;=1,INDEX(Rubricas!$O$4:$O$112,MATCH(A118,Rubricas!$A$4:$A$112,0)),IF(F118=2,"Por completar o validar – "&amp;INDEX(Rubricas!$F$4:$F$112,MATCH(A118,Rubricas!$A$4:$A$112,0)),""))))</f>
        <v>No se identifican reportes, consultas y exportaciones; son salidas de datos que aportan tamaño.</v>
      </c>
      <c r="K118" s="23">
        <f>IF(ISNUMBER(F118),IF(F118&lt;3,(3-F118)*E118*VLOOKUP(B118,Parametros!$A$5:$D$15,4,0)*100+ROW()/100000,0),IF(F118="",3*E118*VLOOKUP(B118,Parametros!$A$5:$D$15,4,0)*100+ROW()/100000,0))</f>
        <v>36.001179999999998</v>
      </c>
    </row>
    <row r="119" spans="1:11" ht="54" customHeight="1">
      <c r="A119" s="9" t="s">
        <v>471</v>
      </c>
      <c r="B119" s="9" t="s">
        <v>63</v>
      </c>
      <c r="C119" s="4" t="s">
        <v>428</v>
      </c>
      <c r="D119" s="4" t="s">
        <v>1343</v>
      </c>
      <c r="E119" s="19">
        <f>INDEX(Rubricas!$M$4:$M$112,MATCH(A119,Rubricas!$A$4:$A$112,0))</f>
        <v>2</v>
      </c>
      <c r="F119" s="22">
        <v>1</v>
      </c>
      <c r="G119" s="17" t="s">
        <v>1461</v>
      </c>
      <c r="H119" s="9">
        <f>IF(ISNUMBER(F119),F119*E119,0)</f>
        <v>2</v>
      </c>
      <c r="I119" s="9">
        <f>IF(F119="N/A",0,3*E119)</f>
        <v>6</v>
      </c>
      <c r="J119" s="4" t="str">
        <f>IF(F119="","Sin evaluar (núcleo, cuenta como 0) – "&amp;INDEX(Rubricas!$F$4:$F$112,MATCH(A119,Rubricas!$A$4:$A$112,0)),IF(F119="N/A","⚠ Este criterio no admite N/A: calificar de 0 a 3.",IF(F119&lt;=1,INDEX(Rubricas!$O$4:$O$112,MATCH(A119,Rubricas!$A$4:$A$112,0)),IF(F119=2,"Por completar o validar – "&amp;INDEX(Rubricas!$F$4:$F$112,MATCH(A119,Rubricas!$A$4:$A$112,0)),""))))</f>
        <v>No hay trazabilidad requisito–proceso–tamaño; dificulta auditar la medición y gestionar cambios de alcance.</v>
      </c>
      <c r="K119" s="23">
        <f>IF(ISNUMBER(F119),IF(F119&lt;3,(3-F119)*E119*VLOOKUP(B119,Parametros!$A$5:$D$15,4,0)*100+ROW()/100000,0),IF(F119="",3*E119*VLOOKUP(B119,Parametros!$A$5:$D$15,4,0)*100+ROW()/100000,0))</f>
        <v>72.001189999999994</v>
      </c>
    </row>
    <row r="120" spans="1:11" ht="54" customHeight="1">
      <c r="A120" s="9" t="s">
        <v>479</v>
      </c>
      <c r="B120" s="9" t="s">
        <v>63</v>
      </c>
      <c r="C120" s="4" t="s">
        <v>428</v>
      </c>
      <c r="D120" s="4" t="s">
        <v>1344</v>
      </c>
      <c r="E120" s="19">
        <f>INDEX(Rubricas!$M$4:$M$112,MATCH(A120,Rubricas!$A$4:$A$112,0))</f>
        <v>1</v>
      </c>
      <c r="F120" s="22">
        <v>0</v>
      </c>
      <c r="G120" s="17" t="s">
        <v>1462</v>
      </c>
      <c r="H120" s="9">
        <f>IF(ISNUMBER(F120),F120*E120,0)</f>
        <v>0</v>
      </c>
      <c r="I120" s="9">
        <f>IF(F120="N/A",0,3*E120)</f>
        <v>3</v>
      </c>
      <c r="J120" s="4" t="str">
        <f>IF(F120="","Sin evaluar (núcleo, cuenta como 0) – "&amp;INDEX(Rubricas!$F$4:$F$112,MATCH(A120,Rubricas!$A$4:$A$112,0)),IF(F120="N/A","⚠ Este criterio no admite N/A: calificar de 0 a 3.",IF(F120&lt;=1,INDEX(Rubricas!$O$4:$O$112,MATCH(A120,Rubricas!$A$4:$A$112,0)),IF(F120=2,"Por completar o validar – "&amp;INDEX(Rubricas!$F$4:$F$112,MATCH(A120,Rubricas!$A$4:$A$112,0)),""))))</f>
        <v>La medición no ha sido revisada por un segundo medidor.</v>
      </c>
      <c r="K120" s="23">
        <f>IF(ISNUMBER(F120),IF(F120&lt;3,(3-F120)*E120*VLOOKUP(B120,Parametros!$A$5:$D$15,4,0)*100+ROW()/100000,0),IF(F120="",3*E120*VLOOKUP(B120,Parametros!$A$5:$D$15,4,0)*100+ROW()/100000,0))</f>
        <v>54.001199999999997</v>
      </c>
    </row>
    <row r="121" spans="1:11">
      <c r="A121" s="28" t="str">
        <f>"D4 · Complejidad — Núcleo · peso "&amp;TEXT(Parametros!$D$8,"0%")&amp;" · 12 criterios"</f>
        <v>D4 · Complejidad — Núcleo · peso 15% · 12 criterios</v>
      </c>
      <c r="B121" s="28"/>
      <c r="C121" s="28"/>
      <c r="D121" s="28"/>
      <c r="E121" s="28"/>
      <c r="F121" s="28"/>
      <c r="G121" s="28"/>
      <c r="H121" s="28"/>
      <c r="I121" s="28"/>
      <c r="J121" s="28"/>
      <c r="K121" s="28"/>
    </row>
    <row r="122" spans="1:11" ht="54" customHeight="1">
      <c r="A122" s="9" t="s">
        <v>487</v>
      </c>
      <c r="B122" s="9" t="s">
        <v>70</v>
      </c>
      <c r="C122" s="4" t="s">
        <v>488</v>
      </c>
      <c r="D122" s="4" t="s">
        <v>1345</v>
      </c>
      <c r="E122" s="19">
        <f>INDEX(Rubricas!$M$4:$M$112,MATCH(A122,Rubricas!$A$4:$A$112,0))</f>
        <v>3</v>
      </c>
      <c r="F122" s="22">
        <v>2</v>
      </c>
      <c r="G122" s="17" t="s">
        <v>1463</v>
      </c>
      <c r="H122" s="9">
        <f>IF(ISNUMBER(F122),F122*E122,0)</f>
        <v>6</v>
      </c>
      <c r="I122" s="9">
        <f>IF(F122="N/A",0,3*E122)</f>
        <v>9</v>
      </c>
      <c r="J122" s="4" t="str">
        <f>IF(F122="","Sin evaluar (núcleo, cuenta como 0) – "&amp;INDEX(Rubricas!$F$4:$F$112,MATCH(A122,Rubricas!$A$4:$A$112,0)),IF(F122="N/A","⚠ Este criterio no admite N/A: calificar de 0 a 3.",IF(F122&lt;=1,INDEX(Rubricas!$O$4:$O$112,MATCH(A122,Rubricas!$A$4:$A$112,0)),IF(F122=2,"Por completar o validar – "&amp;INDEX(Rubricas!$F$4:$F$112,MATCH(A122,Rubricas!$A$4:$A$112,0)),""))))</f>
        <v>Por completar o validar – Inventario de reglas de negocio</v>
      </c>
      <c r="K122" s="23">
        <f>IF(ISNUMBER(F122),IF(F122&lt;3,(3-F122)*E122*VLOOKUP(B122,Parametros!$A$5:$D$15,4,0)*100+ROW()/100000,0),IF(F122="",3*E122*VLOOKUP(B122,Parametros!$A$5:$D$15,4,0)*100+ROW()/100000,0))</f>
        <v>45.001219999999989</v>
      </c>
    </row>
    <row r="123" spans="1:11" ht="54" customHeight="1">
      <c r="A123" s="9" t="s">
        <v>496</v>
      </c>
      <c r="B123" s="9" t="s">
        <v>70</v>
      </c>
      <c r="C123" s="4" t="s">
        <v>488</v>
      </c>
      <c r="D123" s="4" t="s">
        <v>1346</v>
      </c>
      <c r="E123" s="19">
        <f>INDEX(Rubricas!$M$4:$M$112,MATCH(A123,Rubricas!$A$4:$A$112,0))</f>
        <v>3</v>
      </c>
      <c r="F123" s="22">
        <v>1</v>
      </c>
      <c r="G123" s="17" t="s">
        <v>1464</v>
      </c>
      <c r="H123" s="9">
        <f>IF(ISNUMBER(F123),F123*E123,0)</f>
        <v>3</v>
      </c>
      <c r="I123" s="9">
        <f>IF(F123="N/A",0,3*E123)</f>
        <v>9</v>
      </c>
      <c r="J123" s="4" t="str">
        <f>IF(F123="","Sin evaluar (núcleo, cuenta como 0) – "&amp;INDEX(Rubricas!$F$4:$F$112,MATCH(A123,Rubricas!$A$4:$A$112,0)),IF(F123="N/A","⚠ Este criterio no admite N/A: calificar de 0 a 3.",IF(F123&lt;=1,INDEX(Rubricas!$O$4:$O$112,MATCH(A123,Rubricas!$A$4:$A$112,0)),IF(F123=2,"Por completar o validar – "&amp;INDEX(Rubricas!$F$4:$F$112,MATCH(A123,Rubricas!$A$4:$A$112,0)),""))))</f>
        <v>Las reglas no están caracterizadas (faltan excepciones o cálculos); la calificación de complejidad no es confiable.</v>
      </c>
      <c r="K123" s="23">
        <f>IF(ISNUMBER(F123),IF(F123&lt;3,(3-F123)*E123*VLOOKUP(B123,Parametros!$A$5:$D$15,4,0)*100+ROW()/100000,0),IF(F123="",3*E123*VLOOKUP(B123,Parametros!$A$5:$D$15,4,0)*100+ROW()/100000,0))</f>
        <v>90.001229999999993</v>
      </c>
    </row>
    <row r="124" spans="1:11" ht="54" customHeight="1">
      <c r="A124" s="9" t="s">
        <v>505</v>
      </c>
      <c r="B124" s="9" t="s">
        <v>70</v>
      </c>
      <c r="C124" s="4" t="s">
        <v>506</v>
      </c>
      <c r="D124" s="4" t="s">
        <v>1347</v>
      </c>
      <c r="E124" s="19">
        <f>INDEX(Rubricas!$M$4:$M$112,MATCH(A124,Rubricas!$A$4:$A$112,0))</f>
        <v>2</v>
      </c>
      <c r="F124" s="22">
        <v>2</v>
      </c>
      <c r="G124" s="17" t="s">
        <v>1465</v>
      </c>
      <c r="H124" s="9">
        <f>IF(ISNUMBER(F124),F124*E124,0)</f>
        <v>4</v>
      </c>
      <c r="I124" s="9">
        <f>IF(F124="N/A",0,3*E124)</f>
        <v>6</v>
      </c>
      <c r="J124" s="4" t="str">
        <f>IF(F124="","Sin evaluar (núcleo, cuenta como 0) – "&amp;INDEX(Rubricas!$F$4:$F$112,MATCH(A124,Rubricas!$A$4:$A$112,0)),IF(F124="N/A","⚠ Este criterio no admite N/A: calificar de 0 a 3.",IF(F124&lt;=1,INDEX(Rubricas!$O$4:$O$112,MATCH(A124,Rubricas!$A$4:$A$112,0)),IF(F124=2,"Por completar o validar – "&amp;INDEX(Rubricas!$F$4:$F$112,MATCH(A124,Rubricas!$A$4:$A$112,0)),""))))</f>
        <v>Por completar o validar – Manipulación de datos y algoritmos</v>
      </c>
      <c r="K124" s="23">
        <f>IF(ISNUMBER(F124),IF(F124&lt;3,(3-F124)*E124*VLOOKUP(B124,Parametros!$A$5:$D$15,4,0)*100+ROW()/100000,0),IF(F124="",3*E124*VLOOKUP(B124,Parametros!$A$5:$D$15,4,0)*100+ROW()/100000,0))</f>
        <v>30.001239999999999</v>
      </c>
    </row>
    <row r="125" spans="1:11" ht="54" customHeight="1">
      <c r="A125" s="9" t="s">
        <v>513</v>
      </c>
      <c r="B125" s="9" t="s">
        <v>70</v>
      </c>
      <c r="C125" s="4" t="s">
        <v>506</v>
      </c>
      <c r="D125" s="4" t="s">
        <v>1348</v>
      </c>
      <c r="E125" s="19">
        <f>INDEX(Rubricas!$M$4:$M$112,MATCH(A125,Rubricas!$A$4:$A$112,0))</f>
        <v>2</v>
      </c>
      <c r="F125" s="22">
        <v>3</v>
      </c>
      <c r="G125" s="17" t="s">
        <v>1466</v>
      </c>
      <c r="H125" s="9">
        <f>IF(ISNUMBER(F125),F125*E125,0)</f>
        <v>6</v>
      </c>
      <c r="I125" s="9">
        <f>IF(F125="N/A",0,3*E125)</f>
        <v>6</v>
      </c>
      <c r="J125" s="4" t="str">
        <f>IF(F125="","Sin evaluar (núcleo, cuenta como 0) – "&amp;INDEX(Rubricas!$F$4:$F$112,MATCH(A125,Rubricas!$A$4:$A$112,0)),IF(F125="N/A","⚠ Este criterio no admite N/A: calificar de 0 a 3.",IF(F125&lt;=1,INDEX(Rubricas!$O$4:$O$112,MATCH(A125,Rubricas!$A$4:$A$112,0)),IF(F125=2,"Por completar o validar – "&amp;INDEX(Rubricas!$F$4:$F$112,MATCH(A125,Rubricas!$A$4:$A$112,0)),""))))</f>
        <v/>
      </c>
      <c r="K125" s="23">
        <f>IF(ISNUMBER(F125),IF(F125&lt;3,(3-F125)*E125*VLOOKUP(B125,Parametros!$A$5:$D$15,4,0)*100+ROW()/100000,0),IF(F125="",3*E125*VLOOKUP(B125,Parametros!$A$5:$D$15,4,0)*100+ROW()/100000,0))</f>
        <v>0</v>
      </c>
    </row>
    <row r="126" spans="1:11" ht="54" customHeight="1">
      <c r="A126" s="9" t="s">
        <v>521</v>
      </c>
      <c r="B126" s="9" t="s">
        <v>70</v>
      </c>
      <c r="C126" s="4" t="s">
        <v>522</v>
      </c>
      <c r="D126" s="4" t="s">
        <v>1349</v>
      </c>
      <c r="E126" s="19">
        <f>INDEX(Rubricas!$M$4:$M$112,MATCH(A126,Rubricas!$A$4:$A$112,0))</f>
        <v>3</v>
      </c>
      <c r="F126" s="22">
        <v>2</v>
      </c>
      <c r="G126" s="17" t="s">
        <v>1467</v>
      </c>
      <c r="H126" s="9">
        <f>IF(ISNUMBER(F126),F126*E126,0)</f>
        <v>6</v>
      </c>
      <c r="I126" s="9">
        <f>IF(F126="N/A",0,3*E126)</f>
        <v>9</v>
      </c>
      <c r="J126" s="4" t="str">
        <f>IF(F126="","Sin evaluar (núcleo, cuenta como 0) – "&amp;INDEX(Rubricas!$F$4:$F$112,MATCH(A126,Rubricas!$A$4:$A$112,0)),IF(F126="N/A","⚠ Este criterio no admite N/A: calificar de 0 a 3.",IF(F126&lt;=1,INDEX(Rubricas!$O$4:$O$112,MATCH(A126,Rubricas!$A$4:$A$112,0)),IF(F126=2,"Por completar o validar – "&amp;INDEX(Rubricas!$F$4:$F$112,MATCH(A126,Rubricas!$A$4:$A$112,0)),""))))</f>
        <v>Por completar o validar – Arquitectura objetivo y novedad</v>
      </c>
      <c r="K126" s="23">
        <f>IF(ISNUMBER(F126),IF(F126&lt;3,(3-F126)*E126*VLOOKUP(B126,Parametros!$A$5:$D$15,4,0)*100+ROW()/100000,0),IF(F126="",3*E126*VLOOKUP(B126,Parametros!$A$5:$D$15,4,0)*100+ROW()/100000,0))</f>
        <v>45.001259999999995</v>
      </c>
    </row>
    <row r="127" spans="1:11" ht="54" customHeight="1">
      <c r="A127" s="9" t="s">
        <v>530</v>
      </c>
      <c r="B127" s="9" t="s">
        <v>70</v>
      </c>
      <c r="C127" s="4" t="s">
        <v>531</v>
      </c>
      <c r="D127" s="4" t="s">
        <v>1350</v>
      </c>
      <c r="E127" s="19">
        <f>INDEX(Rubricas!$M$4:$M$112,MATCH(A127,Rubricas!$A$4:$A$112,0))</f>
        <v>3</v>
      </c>
      <c r="F127" s="22">
        <v>1</v>
      </c>
      <c r="G127" s="17" t="s">
        <v>1468</v>
      </c>
      <c r="H127" s="9">
        <f>IF(ISNUMBER(F127),F127*E127,0)</f>
        <v>3</v>
      </c>
      <c r="I127" s="9">
        <f>IF(F127="N/A",0,3*E127)</f>
        <v>9</v>
      </c>
      <c r="J127" s="4" t="str">
        <f>IF(F127="","Sin evaluar (núcleo, cuenta como 0) – "&amp;INDEX(Rubricas!$F$4:$F$112,MATCH(A127,Rubricas!$A$4:$A$112,0)),IF(F127="N/A","⚠ Este criterio no admite N/A: calificar de 0 a 3.",IF(F127&lt;=1,INDEX(Rubricas!$O$4:$O$112,MATCH(A127,Rubricas!$A$4:$A$112,0)),IF(F127=2,"Por completar o validar – "&amp;INDEX(Rubricas!$F$4:$F$112,MATCH(A127,Rubricas!$A$4:$A$112,0)),""))))</f>
        <v>Los requisitos de seguridad no están especificados ni clasificados.</v>
      </c>
      <c r="K127" s="23">
        <f>IF(ISNUMBER(F127),IF(F127&lt;3,(3-F127)*E127*VLOOKUP(B127,Parametros!$A$5:$D$15,4,0)*100+ROW()/100000,0),IF(F127="",3*E127*VLOOKUP(B127,Parametros!$A$5:$D$15,4,0)*100+ROW()/100000,0))</f>
        <v>90.001269999999991</v>
      </c>
    </row>
    <row r="128" spans="1:11" ht="54" customHeight="1">
      <c r="A128" s="9" t="s">
        <v>540</v>
      </c>
      <c r="B128" s="9" t="s">
        <v>70</v>
      </c>
      <c r="C128" s="4" t="s">
        <v>541</v>
      </c>
      <c r="D128" s="4" t="s">
        <v>1351</v>
      </c>
      <c r="E128" s="19">
        <f>INDEX(Rubricas!$M$4:$M$112,MATCH(A128,Rubricas!$A$4:$A$112,0))</f>
        <v>2</v>
      </c>
      <c r="F128" s="22">
        <v>1</v>
      </c>
      <c r="G128" s="17" t="s">
        <v>1469</v>
      </c>
      <c r="H128" s="9">
        <f>IF(ISNUMBER(F128),F128*E128,0)</f>
        <v>2</v>
      </c>
      <c r="I128" s="9">
        <f>IF(F128="N/A",0,3*E128)</f>
        <v>6</v>
      </c>
      <c r="J128" s="4" t="str">
        <f>IF(F128="","Sin evaluar (núcleo, cuenta como 0) – "&amp;INDEX(Rubricas!$F$4:$F$112,MATCH(A128,Rubricas!$A$4:$A$112,0)),IF(F128="N/A","⚠ Este criterio no admite N/A: calificar de 0 a 3.",IF(F128&lt;=1,INDEX(Rubricas!$O$4:$O$112,MATCH(A128,Rubricas!$A$4:$A$112,0)),IF(F128=2,"Por completar o validar – "&amp;INDEX(Rubricas!$F$4:$F$112,MATCH(A128,Rubricas!$A$4:$A$112,0)),""))))</f>
        <v>Los requisitos de desempeño y volumen no están cuantificados.</v>
      </c>
      <c r="K128" s="23">
        <f>IF(ISNUMBER(F128),IF(F128&lt;3,(3-F128)*E128*VLOOKUP(B128,Parametros!$A$5:$D$15,4,0)*100+ROW()/100000,0),IF(F128="",3*E128*VLOOKUP(B128,Parametros!$A$5:$D$15,4,0)*100+ROW()/100000,0))</f>
        <v>60.001280000000001</v>
      </c>
    </row>
    <row r="129" spans="1:11" ht="54" customHeight="1">
      <c r="A129" s="9" t="s">
        <v>549</v>
      </c>
      <c r="B129" s="9" t="s">
        <v>70</v>
      </c>
      <c r="C129" s="4" t="s">
        <v>541</v>
      </c>
      <c r="D129" s="4" t="s">
        <v>1352</v>
      </c>
      <c r="E129" s="19">
        <f>INDEX(Rubricas!$M$4:$M$112,MATCH(A129,Rubricas!$A$4:$A$112,0))</f>
        <v>1</v>
      </c>
      <c r="F129" s="22">
        <v>0</v>
      </c>
      <c r="G129" s="17" t="s">
        <v>1470</v>
      </c>
      <c r="H129" s="9">
        <f>IF(ISNUMBER(F129),F129*E129,0)</f>
        <v>0</v>
      </c>
      <c r="I129" s="9">
        <f>IF(F129="N/A",0,3*E129)</f>
        <v>3</v>
      </c>
      <c r="J129" s="4" t="str">
        <f>IF(F129="","Sin evaluar (núcleo, cuenta como 0) – "&amp;INDEX(Rubricas!$F$4:$F$112,MATCH(A129,Rubricas!$A$4:$A$112,0)),IF(F129="N/A","⚠ Este criterio no admite N/A: calificar de 0 a 3.",IF(F129&lt;=1,INDEX(Rubricas!$O$4:$O$112,MATCH(A129,Rubricas!$A$4:$A$112,0)),IF(F129=2,"Por completar o validar – "&amp;INDEX(Rubricas!$F$4:$F$112,MATCH(A129,Rubricas!$A$4:$A$112,0)),""))))</f>
        <v>No se definen disponibilidad ni continuidad (SLA, RTO/RPO).</v>
      </c>
      <c r="K129" s="23">
        <f>IF(ISNUMBER(F129),IF(F129&lt;3,(3-F129)*E129*VLOOKUP(B129,Parametros!$A$5:$D$15,4,0)*100+ROW()/100000,0),IF(F129="",3*E129*VLOOKUP(B129,Parametros!$A$5:$D$15,4,0)*100+ROW()/100000,0))</f>
        <v>45.00128999999999</v>
      </c>
    </row>
    <row r="130" spans="1:11" ht="54" customHeight="1">
      <c r="A130" s="9" t="s">
        <v>558</v>
      </c>
      <c r="B130" s="9" t="s">
        <v>70</v>
      </c>
      <c r="C130" s="4" t="s">
        <v>559</v>
      </c>
      <c r="D130" s="4" t="s">
        <v>1353</v>
      </c>
      <c r="E130" s="19">
        <f>INDEX(Rubricas!$M$4:$M$112,MATCH(A130,Rubricas!$A$4:$A$112,0))</f>
        <v>2</v>
      </c>
      <c r="F130" s="22">
        <v>2</v>
      </c>
      <c r="G130" s="17" t="s">
        <v>1471</v>
      </c>
      <c r="H130" s="9">
        <f>IF(ISNUMBER(F130),F130*E130,0)</f>
        <v>4</v>
      </c>
      <c r="I130" s="9">
        <f>IF(F130="N/A",0,3*E130)</f>
        <v>6</v>
      </c>
      <c r="J130" s="4" t="str">
        <f>IF(F130="","Sin evaluar (núcleo, cuenta como 0) – "&amp;INDEX(Rubricas!$F$4:$F$112,MATCH(A130,Rubricas!$A$4:$A$112,0)),IF(F130="N/A","⚠ Este criterio no admite N/A: calificar de 0 a 3.",IF(F130&lt;=1,INDEX(Rubricas!$O$4:$O$112,MATCH(A130,Rubricas!$A$4:$A$112,0)),IF(F130=2,"Por completar o validar – "&amp;INDEX(Rubricas!$F$4:$F$112,MATCH(A130,Rubricas!$A$4:$A$112,0)),""))))</f>
        <v>Por completar o validar – Dependencias identificadas y calificadas</v>
      </c>
      <c r="K130" s="23">
        <f>IF(ISNUMBER(F130),IF(F130&lt;3,(3-F130)*E130*VLOOKUP(B130,Parametros!$A$5:$D$15,4,0)*100+ROW()/100000,0),IF(F130="",3*E130*VLOOKUP(B130,Parametros!$A$5:$D$15,4,0)*100+ROW()/100000,0))</f>
        <v>30.001300000000001</v>
      </c>
    </row>
    <row r="131" spans="1:11" ht="54" customHeight="1">
      <c r="A131" s="9" t="s">
        <v>567</v>
      </c>
      <c r="B131" s="9" t="s">
        <v>70</v>
      </c>
      <c r="C131" s="4" t="s">
        <v>568</v>
      </c>
      <c r="D131" s="4" t="s">
        <v>1354</v>
      </c>
      <c r="E131" s="19">
        <f>INDEX(Rubricas!$M$4:$M$112,MATCH(A131,Rubricas!$A$4:$A$112,0))</f>
        <v>2</v>
      </c>
      <c r="F131" s="22">
        <v>2</v>
      </c>
      <c r="G131" s="17" t="s">
        <v>1472</v>
      </c>
      <c r="H131" s="9">
        <f>IF(ISNUMBER(F131),F131*E131,0)</f>
        <v>4</v>
      </c>
      <c r="I131" s="9">
        <f>IF(F131="N/A",0,3*E131)</f>
        <v>6</v>
      </c>
      <c r="J131" s="4" t="str">
        <f>IF(F131="","Sin evaluar (núcleo, cuenta como 0) – "&amp;INDEX(Rubricas!$F$4:$F$112,MATCH(A131,Rubricas!$A$4:$A$112,0)),IF(F131="N/A","⚠ Este criterio no admite N/A: calificar de 0 a 3.",IF(F131&lt;=1,INDEX(Rubricas!$O$4:$O$112,MATCH(A131,Rubricas!$A$4:$A$112,0)),IF(F131=2,"Por completar o validar – "&amp;INDEX(Rubricas!$F$4:$F$112,MATCH(A131,Rubricas!$A$4:$A$112,0)),""))))</f>
        <v>Por completar o validar – Requisitos regulatorios y de cumplimiento</v>
      </c>
      <c r="K131" s="23">
        <f>IF(ISNUMBER(F131),IF(F131&lt;3,(3-F131)*E131*VLOOKUP(B131,Parametros!$A$5:$D$15,4,0)*100+ROW()/100000,0),IF(F131="",3*E131*VLOOKUP(B131,Parametros!$A$5:$D$15,4,0)*100+ROW()/100000,0))</f>
        <v>30.00131</v>
      </c>
    </row>
    <row r="132" spans="1:11" ht="54" customHeight="1">
      <c r="A132" s="9" t="s">
        <v>575</v>
      </c>
      <c r="B132" s="9" t="s">
        <v>70</v>
      </c>
      <c r="C132" s="4" t="s">
        <v>541</v>
      </c>
      <c r="D132" s="4" t="s">
        <v>1355</v>
      </c>
      <c r="E132" s="19">
        <f>INDEX(Rubricas!$M$4:$M$112,MATCH(A132,Rubricas!$A$4:$A$112,0))</f>
        <v>1</v>
      </c>
      <c r="F132" s="22">
        <v>2</v>
      </c>
      <c r="G132" s="17" t="s">
        <v>1473</v>
      </c>
      <c r="H132" s="9">
        <f>IF(ISNUMBER(F132),F132*E132,0)</f>
        <v>2</v>
      </c>
      <c r="I132" s="9">
        <f>IF(F132="N/A",0,3*E132)</f>
        <v>3</v>
      </c>
      <c r="J132" s="4" t="str">
        <f>IF(F132="","Sin evaluar (núcleo, cuenta como 0) – "&amp;INDEX(Rubricas!$F$4:$F$112,MATCH(A132,Rubricas!$A$4:$A$112,0)),IF(F132="N/A","⚠ Este criterio no admite N/A: calificar de 0 a 3.",IF(F132&lt;=1,INDEX(Rubricas!$O$4:$O$112,MATCH(A132,Rubricas!$A$4:$A$112,0)),IF(F132=2,"Por completar o validar – "&amp;INDEX(Rubricas!$F$4:$F$112,MATCH(A132,Rubricas!$A$4:$A$112,0)),""))))</f>
        <v>Por completar o validar – Variabilidad de la solución</v>
      </c>
      <c r="K132" s="23">
        <f>IF(ISNUMBER(F132),IF(F132&lt;3,(3-F132)*E132*VLOOKUP(B132,Parametros!$A$5:$D$15,4,0)*100+ROW()/100000,0),IF(F132="",3*E132*VLOOKUP(B132,Parametros!$A$5:$D$15,4,0)*100+ROW()/100000,0))</f>
        <v>15.00132</v>
      </c>
    </row>
    <row r="133" spans="1:11" ht="54" customHeight="1">
      <c r="A133" s="9" t="s">
        <v>584</v>
      </c>
      <c r="B133" s="9" t="s">
        <v>70</v>
      </c>
      <c r="C133" s="4" t="s">
        <v>585</v>
      </c>
      <c r="D133" s="4" t="s">
        <v>1356</v>
      </c>
      <c r="E133" s="19">
        <f>INDEX(Rubricas!$M$4:$M$112,MATCH(A133,Rubricas!$A$4:$A$112,0))</f>
        <v>2</v>
      </c>
      <c r="F133" s="22">
        <v>3</v>
      </c>
      <c r="G133" s="17" t="s">
        <v>1474</v>
      </c>
      <c r="H133" s="9">
        <f>IF(ISNUMBER(F133),F133*E133,0)</f>
        <v>6</v>
      </c>
      <c r="I133" s="9">
        <f>IF(F133="N/A",0,3*E133)</f>
        <v>6</v>
      </c>
      <c r="J133" s="4" t="str">
        <f>IF(F133="","Sin evaluar (núcleo, cuenta como 0) – "&amp;INDEX(Rubricas!$F$4:$F$112,MATCH(A133,Rubricas!$A$4:$A$112,0)),IF(F133="N/A","⚠ Este criterio no admite N/A: calificar de 0 a 3.",IF(F133&lt;=1,INDEX(Rubricas!$O$4:$O$112,MATCH(A133,Rubricas!$A$4:$A$112,0)),IF(F133=2,"Por completar o validar – "&amp;INDEX(Rubricas!$F$4:$F$112,MATCH(A133,Rubricas!$A$4:$A$112,0)),""))))</f>
        <v/>
      </c>
      <c r="K133" s="23">
        <f>IF(ISNUMBER(F133),IF(F133&lt;3,(3-F133)*E133*VLOOKUP(B133,Parametros!$A$5:$D$15,4,0)*100+ROW()/100000,0),IF(F133="",3*E133*VLOOKUP(B133,Parametros!$A$5:$D$15,4,0)*100+ROW()/100000,0))</f>
        <v>0</v>
      </c>
    </row>
    <row r="134" spans="1:11">
      <c r="A134" s="28" t="str">
        <f>"D5 · Integración / interdependencia — Núcleo · peso "&amp;TEXT(Parametros!$D$9,"0%")&amp;" · 13 criterios"</f>
        <v>D5 · Integración / interdependencia — Núcleo · peso 14% · 13 criterios</v>
      </c>
      <c r="B134" s="28"/>
      <c r="C134" s="28"/>
      <c r="D134" s="28"/>
      <c r="E134" s="28"/>
      <c r="F134" s="28"/>
      <c r="G134" s="28"/>
      <c r="H134" s="28"/>
      <c r="I134" s="28"/>
      <c r="J134" s="28"/>
      <c r="K134" s="28"/>
    </row>
    <row r="135" spans="1:11" ht="54" customHeight="1">
      <c r="A135" s="9" t="s">
        <v>594</v>
      </c>
      <c r="B135" s="9" t="s">
        <v>77</v>
      </c>
      <c r="C135" s="4" t="s">
        <v>595</v>
      </c>
      <c r="D135" s="4" t="s">
        <v>1357</v>
      </c>
      <c r="E135" s="19">
        <f>INDEX(Rubricas!$M$4:$M$112,MATCH(A135,Rubricas!$A$4:$A$112,0))</f>
        <v>3</v>
      </c>
      <c r="F135" s="22">
        <v>2</v>
      </c>
      <c r="G135" s="17" t="s">
        <v>1475</v>
      </c>
      <c r="H135" s="9">
        <f>IF(ISNUMBER(F135),F135*E135,0)</f>
        <v>6</v>
      </c>
      <c r="I135" s="9">
        <f>IF(F135="N/A",0,3*E135)</f>
        <v>9</v>
      </c>
      <c r="J135" s="4" t="str">
        <f>IF(F135="","Sin evaluar (núcleo, cuenta como 0) – "&amp;INDEX(Rubricas!$F$4:$F$112,MATCH(A135,Rubricas!$A$4:$A$112,0)),IF(F135="N/A","",IF(F135&lt;=1,INDEX(Rubricas!$O$4:$O$112,MATCH(A135,Rubricas!$A$4:$A$112,0)),IF(F135=2,"Por completar o validar – "&amp;INDEX(Rubricas!$F$4:$F$112,MATCH(A135,Rubricas!$A$4:$A$112,0)),""))))</f>
        <v>Por completar o validar – Inventario de interfaces</v>
      </c>
      <c r="K135" s="23">
        <f>IF(ISNUMBER(F135),IF(F135&lt;3,(3-F135)*E135*VLOOKUP(B135,Parametros!$A$5:$D$15,4,0)*100+ROW()/100000,0),IF(F135="",3*E135*VLOOKUP(B135,Parametros!$A$5:$D$15,4,0)*100+ROW()/100000,0))</f>
        <v>42.001350000000009</v>
      </c>
    </row>
    <row r="136" spans="1:11" ht="54" customHeight="1">
      <c r="A136" s="9" t="s">
        <v>602</v>
      </c>
      <c r="B136" s="9" t="s">
        <v>77</v>
      </c>
      <c r="C136" s="4" t="s">
        <v>595</v>
      </c>
      <c r="D136" s="4" t="s">
        <v>1358</v>
      </c>
      <c r="E136" s="19">
        <f>INDEX(Rubricas!$M$4:$M$112,MATCH(A136,Rubricas!$A$4:$A$112,0))</f>
        <v>3</v>
      </c>
      <c r="F136" s="22">
        <v>1</v>
      </c>
      <c r="G136" s="17" t="s">
        <v>1476</v>
      </c>
      <c r="H136" s="9">
        <f>IF(ISNUMBER(F136),F136*E136,0)</f>
        <v>3</v>
      </c>
      <c r="I136" s="9">
        <f>IF(F136="N/A",0,3*E136)</f>
        <v>9</v>
      </c>
      <c r="J136" s="4" t="str">
        <f>IF(F136="","Sin evaluar (núcleo, cuenta como 0) – "&amp;INDEX(Rubricas!$F$4:$F$112,MATCH(A136,Rubricas!$A$4:$A$112,0)),IF(F136="N/A","",IF(F136&lt;=1,INDEX(Rubricas!$O$4:$O$112,MATCH(A136,Rubricas!$A$4:$A$112,0)),IF(F136=2,"Por completar o validar – "&amp;INDEX(Rubricas!$F$4:$F$112,MATCH(A136,Rubricas!$A$4:$A$112,0)),""))))</f>
        <v>Las interfaces no están asociadas a procesos ni a los datos intercambiados; el tamaño de la integración queda sin sustento.</v>
      </c>
      <c r="K136" s="23">
        <f>IF(ISNUMBER(F136),IF(F136&lt;3,(3-F136)*E136*VLOOKUP(B136,Parametros!$A$5:$D$15,4,0)*100+ROW()/100000,0),IF(F136="",3*E136*VLOOKUP(B136,Parametros!$A$5:$D$15,4,0)*100+ROW()/100000,0))</f>
        <v>84.00136000000002</v>
      </c>
    </row>
    <row r="137" spans="1:11" ht="54" customHeight="1">
      <c r="A137" s="9" t="s">
        <v>611</v>
      </c>
      <c r="B137" s="9" t="s">
        <v>77</v>
      </c>
      <c r="C137" s="4" t="s">
        <v>612</v>
      </c>
      <c r="D137" s="4" t="s">
        <v>1359</v>
      </c>
      <c r="E137" s="19">
        <f>INDEX(Rubricas!$M$4:$M$112,MATCH(A137,Rubricas!$A$4:$A$112,0))</f>
        <v>3</v>
      </c>
      <c r="F137" s="22">
        <v>2</v>
      </c>
      <c r="G137" s="17" t="s">
        <v>1477</v>
      </c>
      <c r="H137" s="9">
        <f>IF(ISNUMBER(F137),F137*E137,0)</f>
        <v>6</v>
      </c>
      <c r="I137" s="9">
        <f>IF(F137="N/A",0,3*E137)</f>
        <v>9</v>
      </c>
      <c r="J137" s="4" t="str">
        <f>IF(F137="","Sin evaluar (núcleo, cuenta como 0) – "&amp;INDEX(Rubricas!$F$4:$F$112,MATCH(A137,Rubricas!$A$4:$A$112,0)),IF(F137="N/A","",IF(F137&lt;=1,INDEX(Rubricas!$O$4:$O$112,MATCH(A137,Rubricas!$A$4:$A$112,0)),IF(F137=2,"Por completar o validar – "&amp;INDEX(Rubricas!$F$4:$F$112,MATCH(A137,Rubricas!$A$4:$A$112,0)),""))))</f>
        <v>Por completar o validar – Contratos de interfaz</v>
      </c>
      <c r="K137" s="23">
        <f>IF(ISNUMBER(F137),IF(F137&lt;3,(3-F137)*E137*VLOOKUP(B137,Parametros!$A$5:$D$15,4,0)*100+ROW()/100000,0),IF(F137="",3*E137*VLOOKUP(B137,Parametros!$A$5:$D$15,4,0)*100+ROW()/100000,0))</f>
        <v>42.001370000000009</v>
      </c>
    </row>
    <row r="138" spans="1:11" ht="54" customHeight="1">
      <c r="A138" s="9" t="s">
        <v>621</v>
      </c>
      <c r="B138" s="9" t="s">
        <v>77</v>
      </c>
      <c r="C138" s="4" t="s">
        <v>612</v>
      </c>
      <c r="D138" s="4" t="s">
        <v>1360</v>
      </c>
      <c r="E138" s="19">
        <f>INDEX(Rubricas!$M$4:$M$112,MATCH(A138,Rubricas!$A$4:$A$112,0))</f>
        <v>2</v>
      </c>
      <c r="F138" s="22">
        <v>2</v>
      </c>
      <c r="G138" s="17" t="s">
        <v>1478</v>
      </c>
      <c r="H138" s="9">
        <f>IF(ISNUMBER(F138),F138*E138,0)</f>
        <v>4</v>
      </c>
      <c r="I138" s="9">
        <f>IF(F138="N/A",0,3*E138)</f>
        <v>6</v>
      </c>
      <c r="J138" s="4" t="str">
        <f>IF(F138="","Sin evaluar (núcleo, cuenta como 0) – "&amp;INDEX(Rubricas!$F$4:$F$112,MATCH(A138,Rubricas!$A$4:$A$112,0)),IF(F138="N/A","",IF(F138&lt;=1,INDEX(Rubricas!$O$4:$O$112,MATCH(A138,Rubricas!$A$4:$A$112,0)),IF(F138=2,"Por completar o validar – "&amp;INDEX(Rubricas!$F$4:$F$112,MATCH(A138,Rubricas!$A$4:$A$112,0)),""))))</f>
        <v>Por completar o validar – Protocolos y tecnologías</v>
      </c>
      <c r="K138" s="23">
        <f>IF(ISNUMBER(F138),IF(F138&lt;3,(3-F138)*E138*VLOOKUP(B138,Parametros!$A$5:$D$15,4,0)*100+ROW()/100000,0),IF(F138="",3*E138*VLOOKUP(B138,Parametros!$A$5:$D$15,4,0)*100+ROW()/100000,0))</f>
        <v>28.001380000000005</v>
      </c>
    </row>
    <row r="139" spans="1:11" ht="54" customHeight="1">
      <c r="A139" s="9" t="s">
        <v>629</v>
      </c>
      <c r="B139" s="9" t="s">
        <v>77</v>
      </c>
      <c r="C139" s="4" t="s">
        <v>630</v>
      </c>
      <c r="D139" s="4" t="s">
        <v>1361</v>
      </c>
      <c r="E139" s="19">
        <f>INDEX(Rubricas!$M$4:$M$112,MATCH(A139,Rubricas!$A$4:$A$112,0))</f>
        <v>2</v>
      </c>
      <c r="F139" s="22">
        <v>1</v>
      </c>
      <c r="G139" s="17" t="s">
        <v>1479</v>
      </c>
      <c r="H139" s="9">
        <f>IF(ISNUMBER(F139),F139*E139,0)</f>
        <v>2</v>
      </c>
      <c r="I139" s="9">
        <f>IF(F139="N/A",0,3*E139)</f>
        <v>6</v>
      </c>
      <c r="J139" s="4" t="str">
        <f>IF(F139="","Sin evaluar (núcleo, cuenta como 0) – "&amp;INDEX(Rubricas!$F$4:$F$112,MATCH(A139,Rubricas!$A$4:$A$112,0)),IF(F139="N/A","",IF(F139&lt;=1,INDEX(Rubricas!$O$4:$O$112,MATCH(A139,Rubricas!$A$4:$A$112,0)),IF(F139=2,"Por completar o validar – "&amp;INDEX(Rubricas!$F$4:$F$112,MATCH(A139,Rubricas!$A$4:$A$112,0)),""))))</f>
        <v>No se definen sincronía, frecuencia ni volumen de las interfaces.</v>
      </c>
      <c r="K139" s="23">
        <f>IF(ISNUMBER(F139),IF(F139&lt;3,(3-F139)*E139*VLOOKUP(B139,Parametros!$A$5:$D$15,4,0)*100+ROW()/100000,0),IF(F139="",3*E139*VLOOKUP(B139,Parametros!$A$5:$D$15,4,0)*100+ROW()/100000,0))</f>
        <v>56.001390000000008</v>
      </c>
    </row>
    <row r="140" spans="1:11" ht="54" customHeight="1">
      <c r="A140" s="9" t="s">
        <v>637</v>
      </c>
      <c r="B140" s="9" t="s">
        <v>77</v>
      </c>
      <c r="C140" s="4" t="s">
        <v>638</v>
      </c>
      <c r="D140" s="4" t="s">
        <v>1362</v>
      </c>
      <c r="E140" s="19">
        <f>INDEX(Rubricas!$M$4:$M$112,MATCH(A140,Rubricas!$A$4:$A$112,0))</f>
        <v>2</v>
      </c>
      <c r="F140" s="22">
        <v>1</v>
      </c>
      <c r="G140" s="17" t="s">
        <v>1480</v>
      </c>
      <c r="H140" s="9">
        <f>IF(ISNUMBER(F140),F140*E140,0)</f>
        <v>2</v>
      </c>
      <c r="I140" s="9">
        <f>IF(F140="N/A",0,3*E140)</f>
        <v>6</v>
      </c>
      <c r="J140" s="4" t="str">
        <f>IF(F140="","Sin evaluar (núcleo, cuenta como 0) – "&amp;INDEX(Rubricas!$F$4:$F$112,MATCH(A140,Rubricas!$A$4:$A$112,0)),IF(F140="N/A","",IF(F140&lt;=1,INDEX(Rubricas!$O$4:$O$112,MATCH(A140,Rubricas!$A$4:$A$112,0)),IF(F140=2,"Por completar o validar – "&amp;INDEX(Rubricas!$F$4:$F$112,MATCH(A140,Rubricas!$A$4:$A$112,0)),""))))</f>
        <v>Las transformaciones y mapeos de datos no están especificados.</v>
      </c>
      <c r="K140" s="23">
        <f>IF(ISNUMBER(F140),IF(F140&lt;3,(3-F140)*E140*VLOOKUP(B140,Parametros!$A$5:$D$15,4,0)*100+ROW()/100000,0),IF(F140="",3*E140*VLOOKUP(B140,Parametros!$A$5:$D$15,4,0)*100+ROW()/100000,0))</f>
        <v>56.001400000000004</v>
      </c>
    </row>
    <row r="141" spans="1:11" ht="54" customHeight="1">
      <c r="A141" s="9" t="s">
        <v>646</v>
      </c>
      <c r="B141" s="9" t="s">
        <v>77</v>
      </c>
      <c r="C141" s="4" t="s">
        <v>630</v>
      </c>
      <c r="D141" s="4" t="s">
        <v>1363</v>
      </c>
      <c r="E141" s="19">
        <f>INDEX(Rubricas!$M$4:$M$112,MATCH(A141,Rubricas!$A$4:$A$112,0))</f>
        <v>2</v>
      </c>
      <c r="F141" s="22">
        <v>0</v>
      </c>
      <c r="G141" s="17" t="s">
        <v>245</v>
      </c>
      <c r="H141" s="9">
        <f>IF(ISNUMBER(F141),F141*E141,0)</f>
        <v>0</v>
      </c>
      <c r="I141" s="9">
        <f>IF(F141="N/A",0,3*E141)</f>
        <v>6</v>
      </c>
      <c r="J141" s="4" t="str">
        <f>IF(F141="","Sin evaluar (núcleo, cuenta como 0) – "&amp;INDEX(Rubricas!$F$4:$F$112,MATCH(A141,Rubricas!$A$4:$A$112,0)),IF(F141="N/A","",IF(F141&lt;=1,INDEX(Rubricas!$O$4:$O$112,MATCH(A141,Rubricas!$A$4:$A$112,0)),IF(F141=2,"Por completar o validar – "&amp;INDEX(Rubricas!$F$4:$F$112,MATCH(A141,Rubricas!$A$4:$A$112,0)),""))))</f>
        <v>No está definido el manejo de errores (reintentos, idempotencia, conciliación).</v>
      </c>
      <c r="K141" s="23">
        <f>IF(ISNUMBER(F141),IF(F141&lt;3,(3-F141)*E141*VLOOKUP(B141,Parametros!$A$5:$D$15,4,0)*100+ROW()/100000,0),IF(F141="",3*E141*VLOOKUP(B141,Parametros!$A$5:$D$15,4,0)*100+ROW()/100000,0))</f>
        <v>84.001410000000021</v>
      </c>
    </row>
    <row r="142" spans="1:11" ht="54" customHeight="1">
      <c r="A142" s="9" t="s">
        <v>653</v>
      </c>
      <c r="B142" s="9" t="s">
        <v>77</v>
      </c>
      <c r="C142" s="4" t="s">
        <v>654</v>
      </c>
      <c r="D142" s="4" t="s">
        <v>1364</v>
      </c>
      <c r="E142" s="19">
        <f>INDEX(Rubricas!$M$4:$M$112,MATCH(A142,Rubricas!$A$4:$A$112,0))</f>
        <v>2</v>
      </c>
      <c r="F142" s="22">
        <v>2</v>
      </c>
      <c r="G142" s="17" t="s">
        <v>1481</v>
      </c>
      <c r="H142" s="9">
        <f>IF(ISNUMBER(F142),F142*E142,0)</f>
        <v>4</v>
      </c>
      <c r="I142" s="9">
        <f>IF(F142="N/A",0,3*E142)</f>
        <v>6</v>
      </c>
      <c r="J142" s="4" t="str">
        <f>IF(F142="","Sin evaluar (núcleo, cuenta como 0) – "&amp;INDEX(Rubricas!$F$4:$F$112,MATCH(A142,Rubricas!$A$4:$A$112,0)),IF(F142="N/A","",IF(F142&lt;=1,INDEX(Rubricas!$O$4:$O$112,MATCH(A142,Rubricas!$A$4:$A$112,0)),IF(F142=2,"Por completar o validar – "&amp;INDEX(Rubricas!$F$4:$F$112,MATCH(A142,Rubricas!$A$4:$A$112,0)),""))))</f>
        <v>Por completar o validar – Seguridad de las integraciones</v>
      </c>
      <c r="K142" s="23">
        <f>IF(ISNUMBER(F142),IF(F142&lt;3,(3-F142)*E142*VLOOKUP(B142,Parametros!$A$5:$D$15,4,0)*100+ROW()/100000,0),IF(F142="",3*E142*VLOOKUP(B142,Parametros!$A$5:$D$15,4,0)*100+ROW()/100000,0))</f>
        <v>28.001420000000003</v>
      </c>
    </row>
    <row r="143" spans="1:11" ht="54" customHeight="1">
      <c r="A143" s="9" t="s">
        <v>661</v>
      </c>
      <c r="B143" s="9" t="s">
        <v>77</v>
      </c>
      <c r="C143" s="4" t="s">
        <v>662</v>
      </c>
      <c r="D143" s="4" t="s">
        <v>1365</v>
      </c>
      <c r="E143" s="19">
        <f>INDEX(Rubricas!$M$4:$M$112,MATCH(A143,Rubricas!$A$4:$A$112,0))</f>
        <v>2</v>
      </c>
      <c r="F143" s="22">
        <v>1</v>
      </c>
      <c r="G143" s="17" t="s">
        <v>1482</v>
      </c>
      <c r="H143" s="9">
        <f>IF(ISNUMBER(F143),F143*E143,0)</f>
        <v>2</v>
      </c>
      <c r="I143" s="9">
        <f>IF(F143="N/A",0,3*E143)</f>
        <v>6</v>
      </c>
      <c r="J143" s="4" t="str">
        <f>IF(F143="","Sin evaluar (núcleo, cuenta como 0) – "&amp;INDEX(Rubricas!$F$4:$F$112,MATCH(A143,Rubricas!$A$4:$A$112,0)),IF(F143="N/A","",IF(F143&lt;=1,INDEX(Rubricas!$O$4:$O$112,MATCH(A143,Rubricas!$A$4:$A$112,0)),IF(F143=2,"Por completar o validar – "&amp;INDEX(Rubricas!$F$4:$F$112,MATCH(A143,Rubricas!$A$4:$A$112,0)),""))))</f>
        <v>No está confirmada la disponibilidad de ambientes de prueba de las contrapartes.</v>
      </c>
      <c r="K143" s="23">
        <f>IF(ISNUMBER(F143),IF(F143&lt;3,(3-F143)*E143*VLOOKUP(B143,Parametros!$A$5:$D$15,4,0)*100+ROW()/100000,0),IF(F143="",3*E143*VLOOKUP(B143,Parametros!$A$5:$D$15,4,0)*100+ROW()/100000,0))</f>
        <v>56.001430000000006</v>
      </c>
    </row>
    <row r="144" spans="1:11" ht="54" customHeight="1">
      <c r="A144" s="9" t="s">
        <v>671</v>
      </c>
      <c r="B144" s="9" t="s">
        <v>77</v>
      </c>
      <c r="C144" s="4" t="s">
        <v>662</v>
      </c>
      <c r="D144" s="4" t="s">
        <v>1366</v>
      </c>
      <c r="E144" s="19">
        <f>INDEX(Rubricas!$M$4:$M$112,MATCH(A144,Rubricas!$A$4:$A$112,0))</f>
        <v>2</v>
      </c>
      <c r="F144" s="22">
        <v>2</v>
      </c>
      <c r="G144" s="17" t="s">
        <v>1483</v>
      </c>
      <c r="H144" s="9">
        <f>IF(ISNUMBER(F144),F144*E144,0)</f>
        <v>4</v>
      </c>
      <c r="I144" s="9">
        <f>IF(F144="N/A",0,3*E144)</f>
        <v>6</v>
      </c>
      <c r="J144" s="4" t="str">
        <f>IF(F144="","Sin evaluar (núcleo, cuenta como 0) – "&amp;INDEX(Rubricas!$F$4:$F$112,MATCH(A144,Rubricas!$A$4:$A$112,0)),IF(F144="N/A","",IF(F144&lt;=1,INDEX(Rubricas!$O$4:$O$112,MATCH(A144,Rubricas!$A$4:$A$112,0)),IF(F144=2,"Por completar o validar – "&amp;INDEX(Rubricas!$F$4:$F$112,MATCH(A144,Rubricas!$A$4:$A$112,0)),""))))</f>
        <v>Por completar o validar – Contrapartes y compromisos</v>
      </c>
      <c r="K144" s="23">
        <f>IF(ISNUMBER(F144),IF(F144&lt;3,(3-F144)*E144*VLOOKUP(B144,Parametros!$A$5:$D$15,4,0)*100+ROW()/100000,0),IF(F144="",3*E144*VLOOKUP(B144,Parametros!$A$5:$D$15,4,0)*100+ROW()/100000,0))</f>
        <v>28.001440000000002</v>
      </c>
    </row>
    <row r="145" spans="1:11" ht="54" customHeight="1">
      <c r="A145" s="9" t="s">
        <v>679</v>
      </c>
      <c r="B145" s="9" t="s">
        <v>77</v>
      </c>
      <c r="C145" s="4" t="s">
        <v>595</v>
      </c>
      <c r="D145" s="4" t="s">
        <v>1367</v>
      </c>
      <c r="E145" s="19">
        <f>INDEX(Rubricas!$M$4:$M$112,MATCH(A145,Rubricas!$A$4:$A$112,0))</f>
        <v>1</v>
      </c>
      <c r="F145" s="22">
        <v>2</v>
      </c>
      <c r="G145" s="17" t="s">
        <v>1484</v>
      </c>
      <c r="H145" s="9">
        <f>IF(ISNUMBER(F145),F145*E145,0)</f>
        <v>2</v>
      </c>
      <c r="I145" s="9">
        <f>IF(F145="N/A",0,3*E145)</f>
        <v>3</v>
      </c>
      <c r="J145" s="4" t="str">
        <f>IF(F145="","Sin evaluar (núcleo, cuenta como 0) – "&amp;INDEX(Rubricas!$F$4:$F$112,MATCH(A145,Rubricas!$A$4:$A$112,0)),IF(F145="N/A","",IF(F145&lt;=1,INDEX(Rubricas!$O$4:$O$112,MATCH(A145,Rubricas!$A$4:$A$112,0)),IF(F145=2,"Por completar o validar – "&amp;INDEX(Rubricas!$F$4:$F$112,MATCH(A145,Rubricas!$A$4:$A$112,0)),""))))</f>
        <v>Por completar o validar – Criticidad de sistemas integrados</v>
      </c>
      <c r="K145" s="23">
        <f>IF(ISNUMBER(F145),IF(F145&lt;3,(3-F145)*E145*VLOOKUP(B145,Parametros!$A$5:$D$15,4,0)*100+ROW()/100000,0),IF(F145="",3*E145*VLOOKUP(B145,Parametros!$A$5:$D$15,4,0)*100+ROW()/100000,0))</f>
        <v>14.001450000000002</v>
      </c>
    </row>
    <row r="146" spans="1:11" ht="54" customHeight="1">
      <c r="A146" s="9" t="s">
        <v>687</v>
      </c>
      <c r="B146" s="9" t="s">
        <v>77</v>
      </c>
      <c r="C146" s="4" t="s">
        <v>585</v>
      </c>
      <c r="D146" s="4" t="s">
        <v>1368</v>
      </c>
      <c r="E146" s="19">
        <f>INDEX(Rubricas!$M$4:$M$112,MATCH(A146,Rubricas!$A$4:$A$112,0))</f>
        <v>2</v>
      </c>
      <c r="F146" s="22">
        <v>3</v>
      </c>
      <c r="G146" s="17" t="s">
        <v>1485</v>
      </c>
      <c r="H146" s="9">
        <f>IF(ISNUMBER(F146),F146*E146,0)</f>
        <v>6</v>
      </c>
      <c r="I146" s="9">
        <f>IF(F146="N/A",0,3*E146)</f>
        <v>6</v>
      </c>
      <c r="J146" s="4" t="str">
        <f>IF(F146="","Sin evaluar (núcleo, cuenta como 0) – "&amp;INDEX(Rubricas!$F$4:$F$112,MATCH(A146,Rubricas!$A$4:$A$112,0)),IF(F146="N/A","⚠ Este criterio no admite N/A: calificar de 0 a 3.",IF(F146&lt;=1,INDEX(Rubricas!$O$4:$O$112,MATCH(A146,Rubricas!$A$4:$A$112,0)),IF(F146=2,"Por completar o validar – "&amp;INDEX(Rubricas!$F$4:$F$112,MATCH(A146,Rubricas!$A$4:$A$112,0)),""))))</f>
        <v/>
      </c>
      <c r="K146" s="23">
        <f>IF(ISNUMBER(F146),IF(F146&lt;3,(3-F146)*E146*VLOOKUP(B146,Parametros!$A$5:$D$15,4,0)*100+ROW()/100000,0),IF(F146="",3*E146*VLOOKUP(B146,Parametros!$A$5:$D$15,4,0)*100+ROW()/100000,0))</f>
        <v>0</v>
      </c>
    </row>
    <row r="147" spans="1:11" ht="54" customHeight="1">
      <c r="A147" s="9" t="s">
        <v>695</v>
      </c>
      <c r="B147" s="9" t="s">
        <v>77</v>
      </c>
      <c r="C147" s="4" t="s">
        <v>662</v>
      </c>
      <c r="D147" s="4" t="s">
        <v>1369</v>
      </c>
      <c r="E147" s="19">
        <f>INDEX(Rubricas!$M$4:$M$112,MATCH(A147,Rubricas!$A$4:$A$112,0))</f>
        <v>2</v>
      </c>
      <c r="F147" s="22">
        <v>1</v>
      </c>
      <c r="G147" s="17" t="s">
        <v>1486</v>
      </c>
      <c r="H147" s="9">
        <f>IF(ISNUMBER(F147),F147*E147,0)</f>
        <v>2</v>
      </c>
      <c r="I147" s="9">
        <f>IF(F147="N/A",0,3*E147)</f>
        <v>6</v>
      </c>
      <c r="J147" s="4" t="str">
        <f>IF(F147="","Sin evaluar (núcleo, cuenta como 0) – "&amp;INDEX(Rubricas!$F$4:$F$112,MATCH(A147,Rubricas!$A$4:$A$112,0)),IF(F147="N/A","",IF(F147&lt;=1,INDEX(Rubricas!$O$4:$O$112,MATCH(A147,Rubricas!$A$4:$A$112,0)),IF(F147=2,"Por completar o validar – "&amp;INDEX(Rubricas!$F$4:$F$112,MATCH(A147,Rubricas!$A$4:$A$112,0)),""))))</f>
        <v>No se conoce si las interfaces existen o deben construirlas las contrapartes.</v>
      </c>
      <c r="K147" s="23">
        <f>IF(ISNUMBER(F147),IF(F147&lt;3,(3-F147)*E147*VLOOKUP(B147,Parametros!$A$5:$D$15,4,0)*100+ROW()/100000,0),IF(F147="",3*E147*VLOOKUP(B147,Parametros!$A$5:$D$15,4,0)*100+ROW()/100000,0))</f>
        <v>56.001470000000005</v>
      </c>
    </row>
    <row r="148" spans="1:11">
      <c r="A148" s="29" t="str">
        <f>"D6 · Novedad y reutilización — Complementaria · peso "&amp;TEXT(Parametros!$D$10,"0%")&amp;" · 7 criterios"</f>
        <v>D6 · Novedad y reutilización — Complementaria · peso 5% · 7 criterios</v>
      </c>
      <c r="B148" s="29"/>
      <c r="C148" s="29"/>
      <c r="D148" s="29"/>
      <c r="E148" s="29"/>
      <c r="F148" s="29"/>
      <c r="G148" s="29"/>
      <c r="H148" s="29"/>
      <c r="I148" s="29"/>
      <c r="J148" s="29"/>
      <c r="K148" s="29"/>
    </row>
    <row r="149" spans="1:11" ht="54" customHeight="1">
      <c r="A149" s="9" t="s">
        <v>703</v>
      </c>
      <c r="B149" s="9" t="s">
        <v>84</v>
      </c>
      <c r="C149" s="4" t="s">
        <v>704</v>
      </c>
      <c r="D149" s="4" t="s">
        <v>1370</v>
      </c>
      <c r="E149" s="19">
        <f>INDEX(Rubricas!$M$4:$M$112,MATCH(A149,Rubricas!$A$4:$A$112,0))</f>
        <v>2</v>
      </c>
      <c r="F149" s="22">
        <v>2</v>
      </c>
      <c r="G149" s="17" t="s">
        <v>1487</v>
      </c>
      <c r="H149" s="9">
        <f>IF(ISNUMBER(F149),F149*E149,0)</f>
        <v>4</v>
      </c>
      <c r="I149" s="9">
        <f>IF(F149="N/A",0,3*E149)</f>
        <v>6</v>
      </c>
      <c r="J149" s="4" t="str">
        <f>IF(F149="","",IF(F149="N/A","⚠ Este criterio no admite N/A: calificar de 0 a 3.",IF(F149&lt;=1,INDEX(Rubricas!$O$4:$O$112,MATCH(A149,Rubricas!$A$4:$A$112,0)),IF(F149=2,"Por completar o validar – "&amp;INDEX(Rubricas!$F$4:$F$112,MATCH(A149,Rubricas!$A$4:$A$112,0)),""))))</f>
        <v>Por completar o validar – Activos reutilizables identificados</v>
      </c>
      <c r="K149" s="23">
        <f>IF(ISNUMBER(F149),IF(F149&lt;3,(3-F149)*E149*VLOOKUP(B149,Parametros!$A$5:$D$15,4,0)*100+ROW()/100000,0),IF(F149="",0,0))</f>
        <v>10.00149</v>
      </c>
    </row>
    <row r="150" spans="1:11" ht="54" customHeight="1">
      <c r="A150" s="9" t="s">
        <v>711</v>
      </c>
      <c r="B150" s="9" t="s">
        <v>84</v>
      </c>
      <c r="C150" s="4" t="s">
        <v>712</v>
      </c>
      <c r="D150" s="4" t="s">
        <v>1371</v>
      </c>
      <c r="E150" s="19">
        <f>INDEX(Rubricas!$M$4:$M$112,MATCH(A150,Rubricas!$A$4:$A$112,0))</f>
        <v>3</v>
      </c>
      <c r="F150" s="22">
        <v>1</v>
      </c>
      <c r="G150" s="17" t="s">
        <v>1488</v>
      </c>
      <c r="H150" s="9">
        <f>IF(ISNUMBER(F150),F150*E150,0)</f>
        <v>3</v>
      </c>
      <c r="I150" s="9">
        <f>IF(F150="N/A",0,3*E150)</f>
        <v>9</v>
      </c>
      <c r="J150" s="4" t="str">
        <f>IF(F150="","",IF(F150="N/A","⚠ Este criterio no admite N/A: calificar de 0 a 3.",IF(F150&lt;=1,INDEX(Rubricas!$O$4:$O$112,MATCH(A150,Rubricas!$A$4:$A$112,0)),IF(F150=2,"Por completar o validar – "&amp;INDEX(Rubricas!$F$4:$F$112,MATCH(A150,Rubricas!$A$4:$A$112,0)),""))))</f>
        <v>El reuso no está clasificado por funcionalidad; el porcentaje reutilizable es una suposición.</v>
      </c>
      <c r="K150" s="23">
        <f>IF(ISNUMBER(F150),IF(F150&lt;3,(3-F150)*E150*VLOOKUP(B150,Parametros!$A$5:$D$15,4,0)*100+ROW()/100000,0),IF(F150="",0,0))</f>
        <v>30.001500000000004</v>
      </c>
    </row>
    <row r="151" spans="1:11" ht="54" customHeight="1">
      <c r="A151" s="9" t="s">
        <v>721</v>
      </c>
      <c r="B151" s="9" t="s">
        <v>84</v>
      </c>
      <c r="C151" s="4" t="s">
        <v>722</v>
      </c>
      <c r="D151" s="4" t="s">
        <v>1372</v>
      </c>
      <c r="E151" s="19">
        <f>INDEX(Rubricas!$M$4:$M$112,MATCH(A151,Rubricas!$A$4:$A$112,0))</f>
        <v>2</v>
      </c>
      <c r="F151" s="22">
        <v>1</v>
      </c>
      <c r="G151" s="17" t="s">
        <v>1489</v>
      </c>
      <c r="H151" s="9">
        <f>IF(ISNUMBER(F151),F151*E151,0)</f>
        <v>2</v>
      </c>
      <c r="I151" s="9">
        <f>IF(F151="N/A",0,3*E151)</f>
        <v>6</v>
      </c>
      <c r="J151" s="4" t="str">
        <f>IF(F151="","",IF(F151="N/A","",IF(F151&lt;=1,INDEX(Rubricas!$O$4:$O$112,MATCH(A151,Rubricas!$A$4:$A$112,0)),IF(F151=2,"Por completar o validar – "&amp;INDEX(Rubricas!$F$4:$F$112,MATCH(A151,Rubricas!$A$4:$A$112,0)),""))))</f>
        <v>No se evaluó el estado de los activos a reutilizar; un activo deficiente puede costar más que construirlo.</v>
      </c>
      <c r="K151" s="23">
        <f>IF(ISNUMBER(F151),IF(F151&lt;3,(3-F151)*E151*VLOOKUP(B151,Parametros!$A$5:$D$15,4,0)*100+ROW()/100000,0),IF(F151="",0,0))</f>
        <v>20.00151</v>
      </c>
    </row>
    <row r="152" spans="1:11" ht="54" customHeight="1">
      <c r="A152" s="9" t="s">
        <v>731</v>
      </c>
      <c r="B152" s="9" t="s">
        <v>84</v>
      </c>
      <c r="C152" s="4" t="s">
        <v>722</v>
      </c>
      <c r="D152" s="4" t="s">
        <v>1373</v>
      </c>
      <c r="E152" s="19">
        <f>INDEX(Rubricas!$M$4:$M$112,MATCH(A152,Rubricas!$A$4:$A$112,0))</f>
        <v>2</v>
      </c>
      <c r="F152" s="22">
        <v>1</v>
      </c>
      <c r="G152" s="17" t="s">
        <v>1490</v>
      </c>
      <c r="H152" s="9">
        <f>IF(ISNUMBER(F152),F152*E152,0)</f>
        <v>2</v>
      </c>
      <c r="I152" s="9">
        <f>IF(F152="N/A",0,3*E152)</f>
        <v>6</v>
      </c>
      <c r="J152" s="4" t="str">
        <f>IF(F152="","",IF(F152="N/A","",IF(F152&lt;=1,INDEX(Rubricas!$O$4:$O$112,MATCH(A152,Rubricas!$A$4:$A$112,0)),IF(F152=2,"Por completar o validar – "&amp;INDEX(Rubricas!$F$4:$F$112,MATCH(A152,Rubricas!$A$4:$A$112,0)),""))))</f>
        <v>No se consideró el esfuerzo de adaptación del reuso.</v>
      </c>
      <c r="K152" s="23">
        <f>IF(ISNUMBER(F152),IF(F152&lt;3,(3-F152)*E152*VLOOKUP(B152,Parametros!$A$5:$D$15,4,0)*100+ROW()/100000,0),IF(F152="",0,0))</f>
        <v>20.001519999999999</v>
      </c>
    </row>
    <row r="153" spans="1:11" ht="54" customHeight="1">
      <c r="A153" s="9" t="s">
        <v>738</v>
      </c>
      <c r="B153" s="9" t="s">
        <v>84</v>
      </c>
      <c r="C153" s="4" t="s">
        <v>712</v>
      </c>
      <c r="D153" s="4" t="s">
        <v>1374</v>
      </c>
      <c r="E153" s="19">
        <f>INDEX(Rubricas!$M$4:$M$112,MATCH(A153,Rubricas!$A$4:$A$112,0))</f>
        <v>1</v>
      </c>
      <c r="F153" s="22" t="s">
        <v>1142</v>
      </c>
      <c r="G153" s="17" t="s">
        <v>1491</v>
      </c>
      <c r="H153" s="9">
        <f>IF(ISNUMBER(F153),F153*E153,0)</f>
        <v>0</v>
      </c>
      <c r="I153" s="9">
        <f>IF(F153="N/A",0,3*E153)</f>
        <v>0</v>
      </c>
      <c r="J153" s="4" t="str">
        <f>IF(F153="","",IF(F153="N/A","",IF(F153&lt;=1,INDEX(Rubricas!$O$4:$O$112,MATCH(A153,Rubricas!$A$4:$A$112,0)),IF(F153=2,"Por completar o validar – "&amp;INDEX(Rubricas!$F$4:$F$112,MATCH(A153,Rubricas!$A$4:$A$112,0)),""))))</f>
        <v/>
      </c>
      <c r="K153" s="23">
        <f>IF(ISNUMBER(F153),IF(F153&lt;3,(3-F153)*E153*VLOOKUP(B153,Parametros!$A$5:$D$15,4,0)*100+ROW()/100000,0),IF(F153="",0,0))</f>
        <v>0</v>
      </c>
    </row>
    <row r="154" spans="1:11" ht="54" customHeight="1">
      <c r="A154" s="9" t="s">
        <v>746</v>
      </c>
      <c r="B154" s="9" t="s">
        <v>84</v>
      </c>
      <c r="C154" s="4" t="s">
        <v>585</v>
      </c>
      <c r="D154" s="4" t="s">
        <v>1375</v>
      </c>
      <c r="E154" s="19">
        <f>INDEX(Rubricas!$M$4:$M$112,MATCH(A154,Rubricas!$A$4:$A$112,0))</f>
        <v>2</v>
      </c>
      <c r="F154" s="22">
        <v>2</v>
      </c>
      <c r="G154" s="17" t="s">
        <v>1492</v>
      </c>
      <c r="H154" s="9">
        <f>IF(ISNUMBER(F154),F154*E154,0)</f>
        <v>4</v>
      </c>
      <c r="I154" s="9">
        <f>IF(F154="N/A",0,3*E154)</f>
        <v>6</v>
      </c>
      <c r="J154" s="4" t="str">
        <f>IF(F154="","",IF(F154="N/A","⚠ Este criterio no admite N/A: calificar de 0 a 3.",IF(F154&lt;=1,INDEX(Rubricas!$O$4:$O$112,MATCH(A154,Rubricas!$A$4:$A$112,0)),IF(F154=2,"Por completar o validar – "&amp;INDEX(Rubricas!$F$4:$F$112,MATCH(A154,Rubricas!$A$4:$A$112,0)),""))))</f>
        <v>Por completar o validar – Nivel de reutilización asignado</v>
      </c>
      <c r="K154" s="23">
        <f>IF(ISNUMBER(F154),IF(F154&lt;3,(3-F154)*E154*VLOOKUP(B154,Parametros!$A$5:$D$15,4,0)*100+ROW()/100000,0),IF(F154="",0,0))</f>
        <v>10.00154</v>
      </c>
    </row>
    <row r="155" spans="1:11" ht="54" customHeight="1">
      <c r="A155" s="9" t="s">
        <v>754</v>
      </c>
      <c r="B155" s="9" t="s">
        <v>84</v>
      </c>
      <c r="C155" s="4" t="s">
        <v>704</v>
      </c>
      <c r="D155" s="4" t="s">
        <v>1376</v>
      </c>
      <c r="E155" s="19">
        <f>INDEX(Rubricas!$M$4:$M$112,MATCH(A155,Rubricas!$A$4:$A$112,0))</f>
        <v>1</v>
      </c>
      <c r="F155" s="22">
        <v>2</v>
      </c>
      <c r="G155" s="17" t="s">
        <v>1493</v>
      </c>
      <c r="H155" s="9">
        <f>IF(ISNUMBER(F155),F155*E155,0)</f>
        <v>2</v>
      </c>
      <c r="I155" s="9">
        <f>IF(F155="N/A",0,3*E155)</f>
        <v>3</v>
      </c>
      <c r="J155" s="4" t="str">
        <f>IF(F155="","",IF(F155="N/A","⚠ Este criterio no admite N/A: calificar de 0 a 3.",IF(F155&lt;=1,INDEX(Rubricas!$O$4:$O$112,MATCH(A155,Rubricas!$A$4:$A$112,0)),IF(F155=2,"Por completar o validar – "&amp;INDEX(Rubricas!$F$4:$F$112,MATCH(A155,Rubricas!$A$4:$A$112,0)),""))))</f>
        <v>Por completar o validar – Soluciones o patrones previos</v>
      </c>
      <c r="K155" s="23">
        <f>IF(ISNUMBER(F155),IF(F155&lt;3,(3-F155)*E155*VLOOKUP(B155,Parametros!$A$5:$D$15,4,0)*100+ROW()/100000,0),IF(F155="",0,0))</f>
        <v>5.0015499999999999</v>
      </c>
    </row>
    <row r="156" spans="1:11">
      <c r="A156" s="29" t="str">
        <f>"D7 · Entorno tecnológico — Complementaria · peso "&amp;TEXT(Parametros!$D$11,"0%")&amp;" · 7 criterios"</f>
        <v>D7 · Entorno tecnológico — Complementaria · peso 5% · 7 criterios</v>
      </c>
      <c r="B156" s="29"/>
      <c r="C156" s="29"/>
      <c r="D156" s="29"/>
      <c r="E156" s="29"/>
      <c r="F156" s="29"/>
      <c r="G156" s="29"/>
      <c r="H156" s="29"/>
      <c r="I156" s="29"/>
      <c r="J156" s="29"/>
      <c r="K156" s="29"/>
    </row>
    <row r="157" spans="1:11" ht="54" customHeight="1">
      <c r="A157" s="9" t="s">
        <v>761</v>
      </c>
      <c r="B157" s="9" t="s">
        <v>92</v>
      </c>
      <c r="C157" s="4" t="s">
        <v>762</v>
      </c>
      <c r="D157" s="4" t="s">
        <v>1377</v>
      </c>
      <c r="E157" s="19">
        <f>INDEX(Rubricas!$M$4:$M$112,MATCH(A157,Rubricas!$A$4:$A$112,0))</f>
        <v>3</v>
      </c>
      <c r="F157" s="22">
        <v>3</v>
      </c>
      <c r="G157" s="17" t="s">
        <v>1494</v>
      </c>
      <c r="H157" s="9">
        <f>IF(ISNUMBER(F157),F157*E157,0)</f>
        <v>9</v>
      </c>
      <c r="I157" s="9">
        <f>IF(F157="N/A",0,3*E157)</f>
        <v>9</v>
      </c>
      <c r="J157" s="4" t="str">
        <f>IF(F157="","",IF(F157="N/A","⚠ Este criterio no admite N/A: calificar de 0 a 3.",IF(F157&lt;=1,INDEX(Rubricas!$O$4:$O$112,MATCH(A157,Rubricas!$A$4:$A$112,0)),IF(F157=2,"Por completar o validar – "&amp;INDEX(Rubricas!$F$4:$F$112,MATCH(A157,Rubricas!$A$4:$A$112,0)),""))))</f>
        <v/>
      </c>
      <c r="K157" s="23">
        <f>IF(ISNUMBER(F157),IF(F157&lt;3,(3-F157)*E157*VLOOKUP(B157,Parametros!$A$5:$D$15,4,0)*100+ROW()/100000,0),IF(F157="",0,0))</f>
        <v>0</v>
      </c>
    </row>
    <row r="158" spans="1:11" ht="54" customHeight="1">
      <c r="A158" s="9" t="s">
        <v>769</v>
      </c>
      <c r="B158" s="9" t="s">
        <v>92</v>
      </c>
      <c r="C158" s="4" t="s">
        <v>770</v>
      </c>
      <c r="D158" s="4" t="s">
        <v>1378</v>
      </c>
      <c r="E158" s="19">
        <f>INDEX(Rubricas!$M$4:$M$112,MATCH(A158,Rubricas!$A$4:$A$112,0))</f>
        <v>2</v>
      </c>
      <c r="F158" s="22">
        <v>2</v>
      </c>
      <c r="G158" s="17" t="s">
        <v>1495</v>
      </c>
      <c r="H158" s="9">
        <f>IF(ISNUMBER(F158),F158*E158,0)</f>
        <v>4</v>
      </c>
      <c r="I158" s="9">
        <f>IF(F158="N/A",0,3*E158)</f>
        <v>6</v>
      </c>
      <c r="J158" s="4" t="str">
        <f>IF(F158="","",IF(F158="N/A","⚠ Este criterio no admite N/A: calificar de 0 a 3.",IF(F158&lt;=1,INDEX(Rubricas!$O$4:$O$112,MATCH(A158,Rubricas!$A$4:$A$112,0)),IF(F158=2,"Por completar o validar – "&amp;INDEX(Rubricas!$F$4:$F$112,MATCH(A158,Rubricas!$A$4:$A$112,0)),""))))</f>
        <v>Por completar o validar – Plataforma de despliegue</v>
      </c>
      <c r="K158" s="23">
        <f>IF(ISNUMBER(F158),IF(F158&lt;3,(3-F158)*E158*VLOOKUP(B158,Parametros!$A$5:$D$15,4,0)*100+ROW()/100000,0),IF(F158="",0,0))</f>
        <v>10.001580000000001</v>
      </c>
    </row>
    <row r="159" spans="1:11" ht="54" customHeight="1">
      <c r="A159" s="9" t="s">
        <v>777</v>
      </c>
      <c r="B159" s="9" t="s">
        <v>92</v>
      </c>
      <c r="C159" s="4" t="s">
        <v>770</v>
      </c>
      <c r="D159" s="4" t="s">
        <v>1379</v>
      </c>
      <c r="E159" s="19">
        <f>INDEX(Rubricas!$M$4:$M$112,MATCH(A159,Rubricas!$A$4:$A$112,0))</f>
        <v>2</v>
      </c>
      <c r="F159" s="22">
        <v>3</v>
      </c>
      <c r="G159" s="17" t="s">
        <v>1496</v>
      </c>
      <c r="H159" s="9">
        <f>IF(ISNUMBER(F159),F159*E159,0)</f>
        <v>6</v>
      </c>
      <c r="I159" s="9">
        <f>IF(F159="N/A",0,3*E159)</f>
        <v>6</v>
      </c>
      <c r="J159" s="4" t="str">
        <f>IF(F159="","",IF(F159="N/A","⚠ Este criterio no admite N/A: calificar de 0 a 3.",IF(F159&lt;=1,INDEX(Rubricas!$O$4:$O$112,MATCH(A159,Rubricas!$A$4:$A$112,0)),IF(F159=2,"Por completar o validar – "&amp;INDEX(Rubricas!$F$4:$F$112,MATCH(A159,Rubricas!$A$4:$A$112,0)),""))))</f>
        <v/>
      </c>
      <c r="K159" s="23">
        <f>IF(ISNUMBER(F159),IF(F159&lt;3,(3-F159)*E159*VLOOKUP(B159,Parametros!$A$5:$D$15,4,0)*100+ROW()/100000,0),IF(F159="",0,0))</f>
        <v>0</v>
      </c>
    </row>
    <row r="160" spans="1:11" ht="54" customHeight="1">
      <c r="A160" s="9" t="s">
        <v>784</v>
      </c>
      <c r="B160" s="9" t="s">
        <v>92</v>
      </c>
      <c r="C160" s="4" t="s">
        <v>785</v>
      </c>
      <c r="D160" s="4" t="s">
        <v>1380</v>
      </c>
      <c r="E160" s="19">
        <f>INDEX(Rubricas!$M$4:$M$112,MATCH(A160,Rubricas!$A$4:$A$112,0))</f>
        <v>3</v>
      </c>
      <c r="F160" s="22">
        <v>2</v>
      </c>
      <c r="G160" s="17" t="s">
        <v>1497</v>
      </c>
      <c r="H160" s="9">
        <f>IF(ISNUMBER(F160),F160*E160,0)</f>
        <v>6</v>
      </c>
      <c r="I160" s="9">
        <f>IF(F160="N/A",0,3*E160)</f>
        <v>9</v>
      </c>
      <c r="J160" s="4" t="str">
        <f>IF(F160="","",IF(F160="N/A","⚠ Este criterio no admite N/A: calificar de 0 a 3.",IF(F160&lt;=1,INDEX(Rubricas!$O$4:$O$112,MATCH(A160,Rubricas!$A$4:$A$112,0)),IF(F160=2,"Por completar o validar – "&amp;INDEX(Rubricas!$F$4:$F$112,MATCH(A160,Rubricas!$A$4:$A$112,0)),""))))</f>
        <v>Por completar o validar – Familiaridad del equipo por tecnología</v>
      </c>
      <c r="K160" s="23">
        <f>IF(ISNUMBER(F160),IF(F160&lt;3,(3-F160)*E160*VLOOKUP(B160,Parametros!$A$5:$D$15,4,0)*100+ROW()/100000,0),IF(F160="",0,0))</f>
        <v>15.001600000000002</v>
      </c>
    </row>
    <row r="161" spans="1:11" ht="54" customHeight="1">
      <c r="A161" s="9" t="s">
        <v>793</v>
      </c>
      <c r="B161" s="9" t="s">
        <v>92</v>
      </c>
      <c r="C161" s="4" t="s">
        <v>794</v>
      </c>
      <c r="D161" s="4" t="s">
        <v>1381</v>
      </c>
      <c r="E161" s="19">
        <f>INDEX(Rubricas!$M$4:$M$112,MATCH(A161,Rubricas!$A$4:$A$112,0))</f>
        <v>1</v>
      </c>
      <c r="F161" s="22">
        <v>2</v>
      </c>
      <c r="G161" s="17" t="s">
        <v>1498</v>
      </c>
      <c r="H161" s="9">
        <f>IF(ISNUMBER(F161),F161*E161,0)</f>
        <v>2</v>
      </c>
      <c r="I161" s="9">
        <f>IF(F161="N/A",0,3*E161)</f>
        <v>3</v>
      </c>
      <c r="J161" s="4" t="str">
        <f>IF(F161="","",IF(F161="N/A","⚠ Este criterio no admite N/A: calificar de 0 a 3.",IF(F161&lt;=1,INDEX(Rubricas!$O$4:$O$112,MATCH(A161,Rubricas!$A$4:$A$112,0)),IF(F161=2,"Por completar o validar – "&amp;INDEX(Rubricas!$F$4:$F$112,MATCH(A161,Rubricas!$A$4:$A$112,0)),""))))</f>
        <v>Por completar o validar – Herramientas de desarrollo y CI/CD</v>
      </c>
      <c r="K161" s="23">
        <f>IF(ISNUMBER(F161),IF(F161&lt;3,(3-F161)*E161*VLOOKUP(B161,Parametros!$A$5:$D$15,4,0)*100+ROW()/100000,0),IF(F161="",0,0))</f>
        <v>5.0016100000000003</v>
      </c>
    </row>
    <row r="162" spans="1:11" ht="54" customHeight="1">
      <c r="A162" s="9" t="s">
        <v>803</v>
      </c>
      <c r="B162" s="9" t="s">
        <v>92</v>
      </c>
      <c r="C162" s="4" t="s">
        <v>794</v>
      </c>
      <c r="D162" s="4" t="s">
        <v>1382</v>
      </c>
      <c r="E162" s="19">
        <f>INDEX(Rubricas!$M$4:$M$112,MATCH(A162,Rubricas!$A$4:$A$112,0))</f>
        <v>2</v>
      </c>
      <c r="F162" s="22">
        <v>1</v>
      </c>
      <c r="G162" s="17" t="s">
        <v>1499</v>
      </c>
      <c r="H162" s="9">
        <f>IF(ISNUMBER(F162),F162*E162,0)</f>
        <v>2</v>
      </c>
      <c r="I162" s="9">
        <f>IF(F162="N/A",0,3*E162)</f>
        <v>6</v>
      </c>
      <c r="J162" s="4" t="str">
        <f>IF(F162="","",IF(F162="N/A","⚠ Este criterio no admite N/A: calificar de 0 a 3.",IF(F162&lt;=1,INDEX(Rubricas!$O$4:$O$112,MATCH(A162,Rubricas!$A$4:$A$112,0)),IF(F162=2,"Por completar o validar – "&amp;INDEX(Rubricas!$F$4:$F$112,MATCH(A162,Rubricas!$A$4:$A$112,0)),""))))</f>
        <v>No están definidos los ambientes ni el responsable de aprovisionarlos.</v>
      </c>
      <c r="K162" s="23">
        <f>IF(ISNUMBER(F162),IF(F162&lt;3,(3-F162)*E162*VLOOKUP(B162,Parametros!$A$5:$D$15,4,0)*100+ROW()/100000,0),IF(F162="",0,0))</f>
        <v>20.001619999999999</v>
      </c>
    </row>
    <row r="163" spans="1:11" ht="54" customHeight="1">
      <c r="A163" s="9" t="s">
        <v>810</v>
      </c>
      <c r="B163" s="9" t="s">
        <v>92</v>
      </c>
      <c r="C163" s="4" t="s">
        <v>811</v>
      </c>
      <c r="D163" s="4" t="s">
        <v>1383</v>
      </c>
      <c r="E163" s="19">
        <f>INDEX(Rubricas!$M$4:$M$112,MATCH(A163,Rubricas!$A$4:$A$112,0))</f>
        <v>2</v>
      </c>
      <c r="F163" s="22">
        <v>1</v>
      </c>
      <c r="G163" s="17" t="s">
        <v>1500</v>
      </c>
      <c r="H163" s="9">
        <f>IF(ISNUMBER(F163),F163*E163,0)</f>
        <v>2</v>
      </c>
      <c r="I163" s="9">
        <f>IF(F163="N/A",0,3*E163)</f>
        <v>6</v>
      </c>
      <c r="J163" s="4" t="str">
        <f>IF(F163="","",IF(F163="N/A","⚠ Este criterio no admite N/A: calificar de 0 a 3.",IF(F163&lt;=1,INDEX(Rubricas!$O$4:$O$112,MATCH(A163,Rubricas!$A$4:$A$112,0)),IF(F163=2,"Por completar o validar – "&amp;INDEX(Rubricas!$F$4:$F$112,MATCH(A163,Rubricas!$A$4:$A$112,0)),""))))</f>
        <v>No se conocen las restricciones tecnológicas del cliente.</v>
      </c>
      <c r="K163" s="23">
        <f>IF(ISNUMBER(F163),IF(F163&lt;3,(3-F163)*E163*VLOOKUP(B163,Parametros!$A$5:$D$15,4,0)*100+ROW()/100000,0),IF(F163="",0,0))</f>
        <v>20.001629999999999</v>
      </c>
    </row>
    <row r="164" spans="1:11">
      <c r="A164" s="29" t="str">
        <f>"D8 · Madurez del alcance — Complementaria · peso "&amp;TEXT(Parametros!$D$12,"0%")&amp;" · 11 criterios"</f>
        <v>D8 · Madurez del alcance — Complementaria · peso 7% · 11 criterios</v>
      </c>
      <c r="B164" s="29"/>
      <c r="C164" s="29"/>
      <c r="D164" s="29"/>
      <c r="E164" s="29"/>
      <c r="F164" s="29"/>
      <c r="G164" s="29"/>
      <c r="H164" s="29"/>
      <c r="I164" s="29"/>
      <c r="J164" s="29"/>
      <c r="K164" s="29"/>
    </row>
    <row r="165" spans="1:11" ht="54" customHeight="1">
      <c r="A165" s="9" t="s">
        <v>818</v>
      </c>
      <c r="B165" s="9" t="s">
        <v>99</v>
      </c>
      <c r="C165" s="4" t="s">
        <v>819</v>
      </c>
      <c r="D165" s="4" t="s">
        <v>1384</v>
      </c>
      <c r="E165" s="19">
        <f>INDEX(Rubricas!$M$4:$M$112,MATCH(A165,Rubricas!$A$4:$A$112,0))</f>
        <v>2</v>
      </c>
      <c r="F165" s="22">
        <v>3</v>
      </c>
      <c r="G165" s="17" t="s">
        <v>1501</v>
      </c>
      <c r="H165" s="9">
        <f>IF(ISNUMBER(F165),F165*E165,0)</f>
        <v>6</v>
      </c>
      <c r="I165" s="9">
        <f>IF(F165="N/A",0,3*E165)</f>
        <v>6</v>
      </c>
      <c r="J165" s="4" t="str">
        <f>IF(F165="","",IF(F165="N/A","⚠ Este criterio no admite N/A: calificar de 0 a 3.",IF(F165&lt;=1,INDEX(Rubricas!$O$4:$O$112,MATCH(A165,Rubricas!$A$4:$A$112,0)),IF(F165=2,"Por completar o validar – "&amp;INDEX(Rubricas!$F$4:$F$112,MATCH(A165,Rubricas!$A$4:$A$112,0)),""))))</f>
        <v/>
      </c>
      <c r="K165" s="23">
        <f>IF(ISNUMBER(F165),IF(F165&lt;3,(3-F165)*E165*VLOOKUP(B165,Parametros!$A$5:$D$15,4,0)*100+ROW()/100000,0),IF(F165="",0,0))</f>
        <v>0</v>
      </c>
    </row>
    <row r="166" spans="1:11" ht="54" customHeight="1">
      <c r="A166" s="9" t="s">
        <v>827</v>
      </c>
      <c r="B166" s="9" t="s">
        <v>99</v>
      </c>
      <c r="C166" s="4" t="s">
        <v>819</v>
      </c>
      <c r="D166" s="4" t="s">
        <v>1385</v>
      </c>
      <c r="E166" s="19">
        <f>INDEX(Rubricas!$M$4:$M$112,MATCH(A166,Rubricas!$A$4:$A$112,0))</f>
        <v>2</v>
      </c>
      <c r="F166" s="22">
        <v>3</v>
      </c>
      <c r="G166" s="17" t="s">
        <v>1502</v>
      </c>
      <c r="H166" s="9">
        <f>IF(ISNUMBER(F166),F166*E166,0)</f>
        <v>6</v>
      </c>
      <c r="I166" s="9">
        <f>IF(F166="N/A",0,3*E166)</f>
        <v>6</v>
      </c>
      <c r="J166" s="4" t="str">
        <f>IF(F166="","",IF(F166="N/A","⚠ Este criterio no admite N/A: calificar de 0 a 3.",IF(F166&lt;=1,INDEX(Rubricas!$O$4:$O$112,MATCH(A166,Rubricas!$A$4:$A$112,0)),IF(F166=2,"Por completar o validar – "&amp;INDEX(Rubricas!$F$4:$F$112,MATCH(A166,Rubricas!$A$4:$A$112,0)),""))))</f>
        <v/>
      </c>
      <c r="K166" s="23">
        <f>IF(ISNUMBER(F166),IF(F166&lt;3,(3-F166)*E166*VLOOKUP(B166,Parametros!$A$5:$D$15,4,0)*100+ROW()/100000,0),IF(F166="",0,0))</f>
        <v>0</v>
      </c>
    </row>
    <row r="167" spans="1:11" ht="54" customHeight="1">
      <c r="A167" s="9" t="s">
        <v>834</v>
      </c>
      <c r="B167" s="9" t="s">
        <v>99</v>
      </c>
      <c r="C167" s="4" t="s">
        <v>835</v>
      </c>
      <c r="D167" s="4" t="s">
        <v>1386</v>
      </c>
      <c r="E167" s="19">
        <f>INDEX(Rubricas!$M$4:$M$112,MATCH(A167,Rubricas!$A$4:$A$112,0))</f>
        <v>3</v>
      </c>
      <c r="F167" s="22">
        <v>2</v>
      </c>
      <c r="G167" s="17" t="s">
        <v>1503</v>
      </c>
      <c r="H167" s="9">
        <f>IF(ISNUMBER(F167),F167*E167,0)</f>
        <v>6</v>
      </c>
      <c r="I167" s="9">
        <f>IF(F167="N/A",0,3*E167)</f>
        <v>9</v>
      </c>
      <c r="J167" s="4" t="str">
        <f>IF(F167="","",IF(F167="N/A","⚠ Este criterio no admite N/A: calificar de 0 a 3.",IF(F167&lt;=1,INDEX(Rubricas!$O$4:$O$112,MATCH(A167,Rubricas!$A$4:$A$112,0)),IF(F167=2,"Por completar o validar – "&amp;INDEX(Rubricas!$F$4:$F$112,MATCH(A167,Rubricas!$A$4:$A$112,0)),""))))</f>
        <v>Por completar o validar – Funcionalidades identificadas</v>
      </c>
      <c r="K167" s="23">
        <f>IF(ISNUMBER(F167),IF(F167&lt;3,(3-F167)*E167*VLOOKUP(B167,Parametros!$A$5:$D$15,4,0)*100+ROW()/100000,0),IF(F167="",0,0))</f>
        <v>21.001670000000004</v>
      </c>
    </row>
    <row r="168" spans="1:11" ht="54" customHeight="1">
      <c r="A168" s="9" t="s">
        <v>843</v>
      </c>
      <c r="B168" s="9" t="s">
        <v>99</v>
      </c>
      <c r="C168" s="4" t="s">
        <v>835</v>
      </c>
      <c r="D168" s="4" t="s">
        <v>1387</v>
      </c>
      <c r="E168" s="19">
        <f>INDEX(Rubricas!$M$4:$M$112,MATCH(A168,Rubricas!$A$4:$A$112,0))</f>
        <v>2</v>
      </c>
      <c r="F168" s="22">
        <v>1</v>
      </c>
      <c r="G168" s="17" t="s">
        <v>1504</v>
      </c>
      <c r="H168" s="9">
        <f>IF(ISNUMBER(F168),F168*E168,0)</f>
        <v>2</v>
      </c>
      <c r="I168" s="9">
        <f>IF(F168="N/A",0,3*E168)</f>
        <v>6</v>
      </c>
      <c r="J168" s="4" t="str">
        <f>IF(F168="","",IF(F168="N/A","⚠ Este criterio no admite N/A: calificar de 0 a 3.",IF(F168&lt;=1,INDEX(Rubricas!$O$4:$O$112,MATCH(A168,Rubricas!$A$4:$A$112,0)),IF(F168=2,"Por completar o validar – "&amp;INDEX(Rubricas!$F$4:$F$112,MATCH(A168,Rubricas!$A$4:$A$112,0)),""))))</f>
        <v>Las reglas de negocio no se conocen o faltan excepciones.</v>
      </c>
      <c r="K168" s="23">
        <f>IF(ISNUMBER(F168),IF(F168&lt;3,(3-F168)*E168*VLOOKUP(B168,Parametros!$A$5:$D$15,4,0)*100+ROW()/100000,0),IF(F168="",0,0))</f>
        <v>28.001680000000004</v>
      </c>
    </row>
    <row r="169" spans="1:11" ht="54" customHeight="1">
      <c r="A169" s="9" t="s">
        <v>851</v>
      </c>
      <c r="B169" s="9" t="s">
        <v>99</v>
      </c>
      <c r="C169" s="4" t="s">
        <v>852</v>
      </c>
      <c r="D169" s="4" t="s">
        <v>1388</v>
      </c>
      <c r="E169" s="19">
        <f>INDEX(Rubricas!$M$4:$M$112,MATCH(A169,Rubricas!$A$4:$A$112,0))</f>
        <v>2</v>
      </c>
      <c r="F169" s="22">
        <v>2</v>
      </c>
      <c r="G169" s="17" t="s">
        <v>1505</v>
      </c>
      <c r="H169" s="9">
        <f>IF(ISNUMBER(F169),F169*E169,0)</f>
        <v>4</v>
      </c>
      <c r="I169" s="9">
        <f>IF(F169="N/A",0,3*E169)</f>
        <v>6</v>
      </c>
      <c r="J169" s="4" t="str">
        <f>IF(F169="","",IF(F169="N/A","⚠ Este criterio no admite N/A: calificar de 0 a 3.",IF(F169&lt;=1,INDEX(Rubricas!$O$4:$O$112,MATCH(A169,Rubricas!$A$4:$A$112,0)),IF(F169=2,"Por completar o validar – "&amp;INDEX(Rubricas!$F$4:$F$112,MATCH(A169,Rubricas!$A$4:$A$112,0)),""))))</f>
        <v>Por completar o validar – Integraciones conocidas</v>
      </c>
      <c r="K169" s="23">
        <f>IF(ISNUMBER(F169),IF(F169&lt;3,(3-F169)*E169*VLOOKUP(B169,Parametros!$A$5:$D$15,4,0)*100+ROW()/100000,0),IF(F169="",0,0))</f>
        <v>14.001690000000002</v>
      </c>
    </row>
    <row r="170" spans="1:11" ht="54" customHeight="1">
      <c r="A170" s="9" t="s">
        <v>859</v>
      </c>
      <c r="B170" s="9" t="s">
        <v>99</v>
      </c>
      <c r="C170" s="4" t="s">
        <v>852</v>
      </c>
      <c r="D170" s="4" t="s">
        <v>1389</v>
      </c>
      <c r="E170" s="19">
        <f>INDEX(Rubricas!$M$4:$M$112,MATCH(A170,Rubricas!$A$4:$A$112,0))</f>
        <v>2</v>
      </c>
      <c r="F170" s="22">
        <v>2</v>
      </c>
      <c r="G170" s="17" t="s">
        <v>864</v>
      </c>
      <c r="H170" s="9">
        <f>IF(ISNUMBER(F170),F170*E170,0)</f>
        <v>4</v>
      </c>
      <c r="I170" s="9">
        <f>IF(F170="N/A",0,3*E170)</f>
        <v>6</v>
      </c>
      <c r="J170" s="4" t="str">
        <f>IF(F170="","",IF(F170="N/A","⚠ Este criterio no admite N/A: calificar de 0 a 3.",IF(F170&lt;=1,INDEX(Rubricas!$O$4:$O$112,MATCH(A170,Rubricas!$A$4:$A$112,0)),IF(F170=2,"Por completar o validar – "&amp;INDEX(Rubricas!$F$4:$F$112,MATCH(A170,Rubricas!$A$4:$A$112,0)),""))))</f>
        <v>Por completar o validar – Datos conocidos</v>
      </c>
      <c r="K170" s="23">
        <f>IF(ISNUMBER(F170),IF(F170&lt;3,(3-F170)*E170*VLOOKUP(B170,Parametros!$A$5:$D$15,4,0)*100+ROW()/100000,0),IF(F170="",0,0))</f>
        <v>14.001700000000001</v>
      </c>
    </row>
    <row r="171" spans="1:11" ht="54" customHeight="1">
      <c r="A171" s="9" t="s">
        <v>867</v>
      </c>
      <c r="B171" s="9" t="s">
        <v>99</v>
      </c>
      <c r="C171" s="4" t="s">
        <v>447</v>
      </c>
      <c r="D171" s="4" t="s">
        <v>1390</v>
      </c>
      <c r="E171" s="19">
        <f>INDEX(Rubricas!$M$4:$M$112,MATCH(A171,Rubricas!$A$4:$A$112,0))</f>
        <v>2</v>
      </c>
      <c r="F171" s="22">
        <v>1</v>
      </c>
      <c r="G171" s="17" t="s">
        <v>1506</v>
      </c>
      <c r="H171" s="9">
        <f>IF(ISNUMBER(F171),F171*E171,0)</f>
        <v>2</v>
      </c>
      <c r="I171" s="9">
        <f>IF(F171="N/A",0,3*E171)</f>
        <v>6</v>
      </c>
      <c r="J171" s="4" t="str">
        <f>IF(F171="","",IF(F171="N/A","⚠ Este criterio no admite N/A: calificar de 0 a 3.",IF(F171&lt;=1,INDEX(Rubricas!$O$4:$O$112,MATCH(A171,Rubricas!$A$4:$A$112,0)),IF(F171=2,"Por completar o validar – "&amp;INDEX(Rubricas!$F$4:$F$112,MATCH(A171,Rubricas!$A$4:$A$112,0)),""))))</f>
        <v>Los requisitos no funcionales no se conocen o no se cuantifican.</v>
      </c>
      <c r="K171" s="23">
        <f>IF(ISNUMBER(F171),IF(F171&lt;3,(3-F171)*E171*VLOOKUP(B171,Parametros!$A$5:$D$15,4,0)*100+ROW()/100000,0),IF(F171="",0,0))</f>
        <v>28.001710000000003</v>
      </c>
    </row>
    <row r="172" spans="1:11" ht="54" customHeight="1">
      <c r="A172" s="9" t="s">
        <v>874</v>
      </c>
      <c r="B172" s="9" t="s">
        <v>99</v>
      </c>
      <c r="C172" s="4" t="s">
        <v>875</v>
      </c>
      <c r="D172" s="4" t="s">
        <v>1391</v>
      </c>
      <c r="E172" s="19">
        <f>INDEX(Rubricas!$M$4:$M$112,MATCH(A172,Rubricas!$A$4:$A$112,0))</f>
        <v>3</v>
      </c>
      <c r="F172" s="22">
        <v>1</v>
      </c>
      <c r="G172" s="17" t="s">
        <v>1507</v>
      </c>
      <c r="H172" s="9">
        <f>IF(ISNUMBER(F172),F172*E172,0)</f>
        <v>3</v>
      </c>
      <c r="I172" s="9">
        <f>IF(F172="N/A",0,3*E172)</f>
        <v>9</v>
      </c>
      <c r="J172" s="4" t="str">
        <f>IF(F172="","",IF(F172="N/A","⚠ Este criterio no admite N/A: calificar de 0 a 3.",IF(F172&lt;=1,INDEX(Rubricas!$O$4:$O$112,MATCH(A172,Rubricas!$A$4:$A$112,0)),IF(F172=2,"Por completar o validar – "&amp;INDEX(Rubricas!$F$4:$F$112,MATCH(A172,Rubricas!$A$4:$A$112,0)),""))))</f>
        <v>No hay criterios de aceptación verificables; sin ellos el alcance de pruebas y la aceptación son inciertos.</v>
      </c>
      <c r="K172" s="23">
        <f>IF(ISNUMBER(F172),IF(F172&lt;3,(3-F172)*E172*VLOOKUP(B172,Parametros!$A$5:$D$15,4,0)*100+ROW()/100000,0),IF(F172="",0,0))</f>
        <v>42.001720000000006</v>
      </c>
    </row>
    <row r="173" spans="1:11" ht="54" customHeight="1">
      <c r="A173" s="9" t="s">
        <v>883</v>
      </c>
      <c r="B173" s="9" t="s">
        <v>99</v>
      </c>
      <c r="C173" s="4" t="s">
        <v>884</v>
      </c>
      <c r="D173" s="4" t="s">
        <v>1392</v>
      </c>
      <c r="E173" s="19">
        <f>INDEX(Rubricas!$M$4:$M$112,MATCH(A173,Rubricas!$A$4:$A$112,0))</f>
        <v>2</v>
      </c>
      <c r="F173" s="22">
        <v>1</v>
      </c>
      <c r="G173" s="17" t="s">
        <v>1508</v>
      </c>
      <c r="H173" s="9">
        <f>IF(ISNUMBER(F173),F173*E173,0)</f>
        <v>2</v>
      </c>
      <c r="I173" s="9">
        <f>IF(F173="N/A",0,3*E173)</f>
        <v>6</v>
      </c>
      <c r="J173" s="4" t="str">
        <f>IF(F173="","",IF(F173="N/A","⚠ Este criterio no admite N/A: calificar de 0 a 3.",IF(F173&lt;=1,INDEX(Rubricas!$O$4:$O$112,MATCH(A173,Rubricas!$A$4:$A$112,0)),IF(F173=2,"Por completar o validar – "&amp;INDEX(Rubricas!$F$4:$F$112,MATCH(A173,Rubricas!$A$4:$A$112,0)),""))))</f>
        <v>No se declara lo que está fuera de alcance.</v>
      </c>
      <c r="K173" s="23">
        <f>IF(ISNUMBER(F173),IF(F173&lt;3,(3-F173)*E173*VLOOKUP(B173,Parametros!$A$5:$D$15,4,0)*100+ROW()/100000,0),IF(F173="",0,0))</f>
        <v>28.001730000000002</v>
      </c>
    </row>
    <row r="174" spans="1:11" ht="54" customHeight="1">
      <c r="A174" s="9" t="s">
        <v>892</v>
      </c>
      <c r="B174" s="9" t="s">
        <v>99</v>
      </c>
      <c r="C174" s="4" t="s">
        <v>884</v>
      </c>
      <c r="D174" s="4" t="s">
        <v>1393</v>
      </c>
      <c r="E174" s="19">
        <f>INDEX(Rubricas!$M$4:$M$112,MATCH(A174,Rubricas!$A$4:$A$112,0))</f>
        <v>1</v>
      </c>
      <c r="F174" s="22">
        <v>2</v>
      </c>
      <c r="G174" s="17" t="s">
        <v>1509</v>
      </c>
      <c r="H174" s="9">
        <f>IF(ISNUMBER(F174),F174*E174,0)</f>
        <v>2</v>
      </c>
      <c r="I174" s="9">
        <f>IF(F174="N/A",0,3*E174)</f>
        <v>3</v>
      </c>
      <c r="J174" s="4" t="str">
        <f>IF(F174="","",IF(F174="N/A","⚠ Este criterio no admite N/A: calificar de 0 a 3.",IF(F174&lt;=1,INDEX(Rubricas!$O$4:$O$112,MATCH(A174,Rubricas!$A$4:$A$112,0)),IF(F174=2,"Por completar o validar – "&amp;INDEX(Rubricas!$F$4:$F$112,MATCH(A174,Rubricas!$A$4:$A$112,0)),""))))</f>
        <v>Por completar o validar – Supuestos, restricciones y dependencias</v>
      </c>
      <c r="K174" s="23">
        <f>IF(ISNUMBER(F174),IF(F174&lt;3,(3-F174)*E174*VLOOKUP(B174,Parametros!$A$5:$D$15,4,0)*100+ROW()/100000,0),IF(F174="",0,0))</f>
        <v>7.0017400000000007</v>
      </c>
    </row>
    <row r="175" spans="1:11" ht="54" customHeight="1">
      <c r="A175" s="9" t="s">
        <v>901</v>
      </c>
      <c r="B175" s="9" t="s">
        <v>99</v>
      </c>
      <c r="C175" s="4" t="s">
        <v>884</v>
      </c>
      <c r="D175" s="4" t="s">
        <v>1394</v>
      </c>
      <c r="E175" s="19">
        <f>INDEX(Rubricas!$M$4:$M$112,MATCH(A175,Rubricas!$A$4:$A$112,0))</f>
        <v>2</v>
      </c>
      <c r="F175" s="22">
        <v>1</v>
      </c>
      <c r="G175" s="17" t="s">
        <v>906</v>
      </c>
      <c r="H175" s="9">
        <f>IF(ISNUMBER(F175),F175*E175,0)</f>
        <v>2</v>
      </c>
      <c r="I175" s="9">
        <f>IF(F175="N/A",0,3*E175)</f>
        <v>6</v>
      </c>
      <c r="J175" s="4" t="str">
        <f>IF(F175="","",IF(F175="N/A","⚠ Este criterio no admite N/A: calificar de 0 a 3.",IF(F175&lt;=1,INDEX(Rubricas!$O$4:$O$112,MATCH(A175,Rubricas!$A$4:$A$112,0)),IF(F175=2,"Por completar o validar – "&amp;INDEX(Rubricas!$F$4:$F$112,MATCH(A175,Rubricas!$A$4:$A$112,0)),""))))</f>
        <v>El alcance no ha sido validado formalmente por el cliente.</v>
      </c>
      <c r="K175" s="23">
        <f>IF(ISNUMBER(F175),IF(F175&lt;3,(3-F175)*E175*VLOOKUP(B175,Parametros!$A$5:$D$15,4,0)*100+ROW()/100000,0),IF(F175="",0,0))</f>
        <v>28.001750000000005</v>
      </c>
    </row>
    <row r="176" spans="1:11">
      <c r="A176" s="29" t="str">
        <f>"D9 · Contexto de ejecución — Complementaria · peso "&amp;TEXT(Parametros!$D$13,"0%")&amp;" · 8 criterios"</f>
        <v>D9 · Contexto de ejecución — Complementaria · peso 5% · 8 criterios</v>
      </c>
      <c r="B176" s="29"/>
      <c r="C176" s="29"/>
      <c r="D176" s="29"/>
      <c r="E176" s="29"/>
      <c r="F176" s="29"/>
      <c r="G176" s="29"/>
      <c r="H176" s="29"/>
      <c r="I176" s="29"/>
      <c r="J176" s="29"/>
      <c r="K176" s="29"/>
    </row>
    <row r="177" spans="1:11" ht="54" customHeight="1">
      <c r="A177" s="9" t="s">
        <v>909</v>
      </c>
      <c r="B177" s="9" t="s">
        <v>106</v>
      </c>
      <c r="C177" s="4" t="s">
        <v>910</v>
      </c>
      <c r="D177" s="4" t="s">
        <v>1395</v>
      </c>
      <c r="E177" s="19">
        <f>INDEX(Rubricas!$M$4:$M$112,MATCH(A177,Rubricas!$A$4:$A$112,0))</f>
        <v>3</v>
      </c>
      <c r="F177" s="22">
        <v>2</v>
      </c>
      <c r="G177" s="17" t="s">
        <v>1510</v>
      </c>
      <c r="H177" s="9">
        <f>IF(ISNUMBER(F177),F177*E177,0)</f>
        <v>6</v>
      </c>
      <c r="I177" s="9">
        <f>IF(F177="N/A",0,3*E177)</f>
        <v>9</v>
      </c>
      <c r="J177" s="4" t="str">
        <f>IF(F177="","",IF(F177="N/A","⚠ Este criterio no admite N/A: calificar de 0 a 3.",IF(F177&lt;=1,INDEX(Rubricas!$O$4:$O$112,MATCH(A177,Rubricas!$A$4:$A$112,0)),IF(F177=2,"Por completar o validar – "&amp;INDEX(Rubricas!$F$4:$F$112,MATCH(A177,Rubricas!$A$4:$A$112,0)),""))))</f>
        <v>Por completar o validar – Equipo identificado</v>
      </c>
      <c r="K177" s="23">
        <f>IF(ISNUMBER(F177),IF(F177&lt;3,(3-F177)*E177*VLOOKUP(B177,Parametros!$A$5:$D$15,4,0)*100+ROW()/100000,0),IF(F177="",0,0))</f>
        <v>15.001770000000002</v>
      </c>
    </row>
    <row r="178" spans="1:11" ht="54" customHeight="1">
      <c r="A178" s="9" t="s">
        <v>918</v>
      </c>
      <c r="B178" s="9" t="s">
        <v>106</v>
      </c>
      <c r="C178" s="4" t="s">
        <v>910</v>
      </c>
      <c r="D178" s="4" t="s">
        <v>1396</v>
      </c>
      <c r="E178" s="19">
        <f>INDEX(Rubricas!$M$4:$M$112,MATCH(A178,Rubricas!$A$4:$A$112,0))</f>
        <v>3</v>
      </c>
      <c r="F178" s="22">
        <v>2</v>
      </c>
      <c r="G178" s="17" t="s">
        <v>1511</v>
      </c>
      <c r="H178" s="9">
        <f>IF(ISNUMBER(F178),F178*E178,0)</f>
        <v>6</v>
      </c>
      <c r="I178" s="9">
        <f>IF(F178="N/A",0,3*E178)</f>
        <v>9</v>
      </c>
      <c r="J178" s="4" t="str">
        <f>IF(F178="","",IF(F178="N/A","⚠ Este criterio no admite N/A: calificar de 0 a 3.",IF(F178&lt;=1,INDEX(Rubricas!$O$4:$O$112,MATCH(A178,Rubricas!$A$4:$A$112,0)),IF(F178=2,"Por completar o validar – "&amp;INDEX(Rubricas!$F$4:$F$112,MATCH(A178,Rubricas!$A$4:$A$112,0)),""))))</f>
        <v>Por completar o validar – Experiencia en proyectos similares</v>
      </c>
      <c r="K178" s="23">
        <f>IF(ISNUMBER(F178),IF(F178&lt;3,(3-F178)*E178*VLOOKUP(B178,Parametros!$A$5:$D$15,4,0)*100+ROW()/100000,0),IF(F178="",0,0))</f>
        <v>15.001780000000002</v>
      </c>
    </row>
    <row r="179" spans="1:11" ht="54" customHeight="1">
      <c r="A179" s="9" t="s">
        <v>927</v>
      </c>
      <c r="B179" s="9" t="s">
        <v>106</v>
      </c>
      <c r="C179" s="4" t="s">
        <v>910</v>
      </c>
      <c r="D179" s="4" t="s">
        <v>1397</v>
      </c>
      <c r="E179" s="19">
        <f>INDEX(Rubricas!$M$4:$M$112,MATCH(A179,Rubricas!$A$4:$A$112,0))</f>
        <v>2</v>
      </c>
      <c r="F179" s="22">
        <v>2</v>
      </c>
      <c r="G179" s="17" t="s">
        <v>1512</v>
      </c>
      <c r="H179" s="9">
        <f>IF(ISNUMBER(F179),F179*E179,0)</f>
        <v>4</v>
      </c>
      <c r="I179" s="9">
        <f>IF(F179="N/A",0,3*E179)</f>
        <v>6</v>
      </c>
      <c r="J179" s="4" t="str">
        <f>IF(F179="","",IF(F179="N/A","⚠ Este criterio no admite N/A: calificar de 0 a 3.",IF(F179&lt;=1,INDEX(Rubricas!$O$4:$O$112,MATCH(A179,Rubricas!$A$4:$A$112,0)),IF(F179=2,"Por completar o validar – "&amp;INDEX(Rubricas!$F$4:$F$112,MATCH(A179,Rubricas!$A$4:$A$112,0)),""))))</f>
        <v>Por completar o validar – Dedicación</v>
      </c>
      <c r="K179" s="23">
        <f>IF(ISNUMBER(F179),IF(F179&lt;3,(3-F179)*E179*VLOOKUP(B179,Parametros!$A$5:$D$15,4,0)*100+ROW()/100000,0),IF(F179="",0,0))</f>
        <v>10.00179</v>
      </c>
    </row>
    <row r="180" spans="1:11" ht="54" customHeight="1">
      <c r="A180" s="9" t="s">
        <v>935</v>
      </c>
      <c r="B180" s="9" t="s">
        <v>106</v>
      </c>
      <c r="C180" s="4" t="s">
        <v>936</v>
      </c>
      <c r="D180" s="4" t="s">
        <v>1398</v>
      </c>
      <c r="E180" s="19">
        <f>INDEX(Rubricas!$M$4:$M$112,MATCH(A180,Rubricas!$A$4:$A$112,0))</f>
        <v>2</v>
      </c>
      <c r="F180" s="22">
        <v>3</v>
      </c>
      <c r="G180" s="17" t="s">
        <v>1513</v>
      </c>
      <c r="H180" s="9">
        <f>IF(ISNUMBER(F180),F180*E180,0)</f>
        <v>6</v>
      </c>
      <c r="I180" s="9">
        <f>IF(F180="N/A",0,3*E180)</f>
        <v>6</v>
      </c>
      <c r="J180" s="4" t="str">
        <f>IF(F180="","",IF(F180="N/A","⚠ Este criterio no admite N/A: calificar de 0 a 3.",IF(F180&lt;=1,INDEX(Rubricas!$O$4:$O$112,MATCH(A180,Rubricas!$A$4:$A$112,0)),IF(F180=2,"Por completar o validar – "&amp;INDEX(Rubricas!$F$4:$F$112,MATCH(A180,Rubricas!$A$4:$A$112,0)),""))))</f>
        <v/>
      </c>
      <c r="K180" s="23">
        <f>IF(ISNUMBER(F180),IF(F180&lt;3,(3-F180)*E180*VLOOKUP(B180,Parametros!$A$5:$D$15,4,0)*100+ROW()/100000,0),IF(F180="",0,0))</f>
        <v>0</v>
      </c>
    </row>
    <row r="181" spans="1:11" ht="54" customHeight="1">
      <c r="A181" s="9" t="s">
        <v>943</v>
      </c>
      <c r="B181" s="9" t="s">
        <v>106</v>
      </c>
      <c r="C181" s="4" t="s">
        <v>936</v>
      </c>
      <c r="D181" s="4" t="s">
        <v>1399</v>
      </c>
      <c r="E181" s="19">
        <f>INDEX(Rubricas!$M$4:$M$112,MATCH(A181,Rubricas!$A$4:$A$112,0))</f>
        <v>2</v>
      </c>
      <c r="F181" s="22">
        <v>1</v>
      </c>
      <c r="G181" s="17" t="s">
        <v>1514</v>
      </c>
      <c r="H181" s="9">
        <f>IF(ISNUMBER(F181),F181*E181,0)</f>
        <v>2</v>
      </c>
      <c r="I181" s="9">
        <f>IF(F181="N/A",0,3*E181)</f>
        <v>6</v>
      </c>
      <c r="J181" s="4" t="str">
        <f>IF(F181="","",IF(F181="N/A","⚠ Este criterio no admite N/A: calificar de 0 a 3.",IF(F181&lt;=1,INDEX(Rubricas!$O$4:$O$112,MATCH(A181,Rubricas!$A$4:$A$112,0)),IF(F181=2,"Por completar o validar – "&amp;INDEX(Rubricas!$F$4:$F$112,MATCH(A181,Rubricas!$A$4:$A$112,0)),""))))</f>
        <v>No está asegurada la disponibilidad del cliente para decisiones.</v>
      </c>
      <c r="K181" s="23">
        <f>IF(ISNUMBER(F181),IF(F181&lt;3,(3-F181)*E181*VLOOKUP(B181,Parametros!$A$5:$D$15,4,0)*100+ROW()/100000,0),IF(F181="",0,0))</f>
        <v>20.001809999999999</v>
      </c>
    </row>
    <row r="182" spans="1:11" ht="54" customHeight="1">
      <c r="A182" s="9" t="s">
        <v>951</v>
      </c>
      <c r="B182" s="9" t="s">
        <v>106</v>
      </c>
      <c r="C182" s="4" t="s">
        <v>952</v>
      </c>
      <c r="D182" s="4" t="s">
        <v>1400</v>
      </c>
      <c r="E182" s="19">
        <f>INDEX(Rubricas!$M$4:$M$112,MATCH(A182,Rubricas!$A$4:$A$112,0))</f>
        <v>1</v>
      </c>
      <c r="F182" s="22">
        <v>2</v>
      </c>
      <c r="G182" s="17" t="s">
        <v>1515</v>
      </c>
      <c r="H182" s="9">
        <f>IF(ISNUMBER(F182),F182*E182,0)</f>
        <v>2</v>
      </c>
      <c r="I182" s="9">
        <f>IF(F182="N/A",0,3*E182)</f>
        <v>3</v>
      </c>
      <c r="J182" s="4" t="str">
        <f>IF(F182="","",IF(F182="N/A","",IF(F182&lt;=1,INDEX(Rubricas!$O$4:$O$112,MATCH(A182,Rubricas!$A$4:$A$112,0)),IF(F182=2,"Por completar o validar – "&amp;INDEX(Rubricas!$F$4:$F$112,MATCH(A182,Rubricas!$A$4:$A$112,0)),""))))</f>
        <v>Por completar o validar – Proveedores y subcontratistas</v>
      </c>
      <c r="K182" s="23">
        <f>IF(ISNUMBER(F182),IF(F182&lt;3,(3-F182)*E182*VLOOKUP(B182,Parametros!$A$5:$D$15,4,0)*100+ROW()/100000,0),IF(F182="",0,0))</f>
        <v>5.0018200000000004</v>
      </c>
    </row>
    <row r="183" spans="1:11" ht="54" customHeight="1">
      <c r="A183" s="9" t="s">
        <v>960</v>
      </c>
      <c r="B183" s="9" t="s">
        <v>106</v>
      </c>
      <c r="C183" s="4" t="s">
        <v>936</v>
      </c>
      <c r="D183" s="4" t="s">
        <v>1401</v>
      </c>
      <c r="E183" s="19">
        <f>INDEX(Rubricas!$M$4:$M$112,MATCH(A183,Rubricas!$A$4:$A$112,0))</f>
        <v>1</v>
      </c>
      <c r="F183" s="22">
        <v>3</v>
      </c>
      <c r="G183" s="17" t="s">
        <v>1516</v>
      </c>
      <c r="H183" s="9">
        <f>IF(ISNUMBER(F183),F183*E183,0)</f>
        <v>3</v>
      </c>
      <c r="I183" s="9">
        <f>IF(F183="N/A",0,3*E183)</f>
        <v>3</v>
      </c>
      <c r="J183" s="4" t="str">
        <f>IF(F183="","",IF(F183="N/A","⚠ Este criterio no admite N/A: calificar de 0 a 3.",IF(F183&lt;=1,INDEX(Rubricas!$O$4:$O$112,MATCH(A183,Rubricas!$A$4:$A$112,0)),IF(F183=2,"Por completar o validar – "&amp;INDEX(Rubricas!$F$4:$F$112,MATCH(A183,Rubricas!$A$4:$A$112,0)),""))))</f>
        <v/>
      </c>
      <c r="K183" s="23">
        <f>IF(ISNUMBER(F183),IF(F183&lt;3,(3-F183)*E183*VLOOKUP(B183,Parametros!$A$5:$D$15,4,0)*100+ROW()/100000,0),IF(F183="",0,0))</f>
        <v>0</v>
      </c>
    </row>
    <row r="184" spans="1:11" ht="54" customHeight="1">
      <c r="A184" s="9" t="s">
        <v>967</v>
      </c>
      <c r="B184" s="9" t="s">
        <v>106</v>
      </c>
      <c r="C184" s="4" t="s">
        <v>952</v>
      </c>
      <c r="D184" s="4" t="s">
        <v>1402</v>
      </c>
      <c r="E184" s="19">
        <f>INDEX(Rubricas!$M$4:$M$112,MATCH(A184,Rubricas!$A$4:$A$112,0))</f>
        <v>2</v>
      </c>
      <c r="F184" s="22">
        <v>1</v>
      </c>
      <c r="G184" s="17" t="s">
        <v>1517</v>
      </c>
      <c r="H184" s="9">
        <f>IF(ISNUMBER(F184),F184*E184,0)</f>
        <v>2</v>
      </c>
      <c r="I184" s="9">
        <f>IF(F184="N/A",0,3*E184)</f>
        <v>6</v>
      </c>
      <c r="J184" s="4" t="str">
        <f>IF(F184="","",IF(F184="N/A","⚠ Este criterio no admite N/A: calificar de 0 a 3.",IF(F184&lt;=1,INDEX(Rubricas!$O$4:$O$112,MATCH(A184,Rubricas!$A$4:$A$112,0)),IF(F184=2,"Por completar o validar – "&amp;INDEX(Rubricas!$F$4:$F$112,MATCH(A184,Rubricas!$A$4:$A$112,0)),""))))</f>
        <v>No se conocen las dependencias externas de ejecución ni sus tiempos.</v>
      </c>
      <c r="K184" s="23">
        <f>IF(ISNUMBER(F184),IF(F184&lt;3,(3-F184)*E184*VLOOKUP(B184,Parametros!$A$5:$D$15,4,0)*100+ROW()/100000,0),IF(F184="",0,0))</f>
        <v>20.001840000000001</v>
      </c>
    </row>
    <row r="185" spans="1:11">
      <c r="A185" s="29" t="str">
        <f>"D10 · Sector / contexto de negocio — Complementaria · peso "&amp;TEXT(Parametros!$D$14,"0%")&amp;" · 6 criterios"</f>
        <v>D10 · Sector / contexto de negocio — Complementaria · peso 3% · 6 criterios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</row>
    <row r="186" spans="1:11" ht="54" customHeight="1">
      <c r="A186" s="9" t="s">
        <v>974</v>
      </c>
      <c r="B186" s="9" t="s">
        <v>113</v>
      </c>
      <c r="C186" s="4" t="s">
        <v>975</v>
      </c>
      <c r="D186" s="4" t="s">
        <v>1403</v>
      </c>
      <c r="E186" s="19">
        <f>INDEX(Rubricas!$M$4:$M$112,MATCH(A186,Rubricas!$A$4:$A$112,0))</f>
        <v>1</v>
      </c>
      <c r="F186" s="22">
        <v>3</v>
      </c>
      <c r="G186" s="17" t="s">
        <v>1518</v>
      </c>
      <c r="H186" s="9">
        <f>IF(ISNUMBER(F186),F186*E186,0)</f>
        <v>3</v>
      </c>
      <c r="I186" s="9">
        <f>IF(F186="N/A",0,3*E186)</f>
        <v>3</v>
      </c>
      <c r="J186" s="4" t="str">
        <f>IF(F186="","",IF(F186="N/A","⚠ Este criterio no admite N/A: calificar de 0 a 3.",IF(F186&lt;=1,INDEX(Rubricas!$O$4:$O$112,MATCH(A186,Rubricas!$A$4:$A$112,0)),IF(F186=2,"Por completar o validar – "&amp;INDEX(Rubricas!$F$4:$F$112,MATCH(A186,Rubricas!$A$4:$A$112,0)),""))))</f>
        <v/>
      </c>
      <c r="K186" s="23">
        <f>IF(ISNUMBER(F186),IF(F186&lt;3,(3-F186)*E186*VLOOKUP(B186,Parametros!$A$5:$D$15,4,0)*100+ROW()/100000,0),IF(F186="",0,0))</f>
        <v>0</v>
      </c>
    </row>
    <row r="187" spans="1:11" ht="54" customHeight="1">
      <c r="A187" s="9" t="s">
        <v>983</v>
      </c>
      <c r="B187" s="9" t="s">
        <v>113</v>
      </c>
      <c r="C187" s="4" t="s">
        <v>984</v>
      </c>
      <c r="D187" s="4" t="s">
        <v>1404</v>
      </c>
      <c r="E187" s="19">
        <f>INDEX(Rubricas!$M$4:$M$112,MATCH(A187,Rubricas!$A$4:$A$112,0))</f>
        <v>3</v>
      </c>
      <c r="F187" s="22">
        <v>2</v>
      </c>
      <c r="G187" s="17" t="s">
        <v>1519</v>
      </c>
      <c r="H187" s="9">
        <f>IF(ISNUMBER(F187),F187*E187,0)</f>
        <v>6</v>
      </c>
      <c r="I187" s="9">
        <f>IF(F187="N/A",0,3*E187)</f>
        <v>9</v>
      </c>
      <c r="J187" s="4" t="str">
        <f>IF(F187="","",IF(F187="N/A","⚠ Este criterio no admite N/A: calificar de 0 a 3.",IF(F187&lt;=1,INDEX(Rubricas!$O$4:$O$112,MATCH(A187,Rubricas!$A$4:$A$112,0)),IF(F187=2,"Por completar o validar – "&amp;INDEX(Rubricas!$F$4:$F$112,MATCH(A187,Rubricas!$A$4:$A$112,0)),""))))</f>
        <v>Por completar o validar – Regulación sectorial aplicable</v>
      </c>
      <c r="K187" s="23">
        <f>IF(ISNUMBER(F187),IF(F187&lt;3,(3-F187)*E187*VLOOKUP(B187,Parametros!$A$5:$D$15,4,0)*100+ROW()/100000,0),IF(F187="",0,0))</f>
        <v>9.0018700000000003</v>
      </c>
    </row>
    <row r="188" spans="1:11" ht="54" customHeight="1">
      <c r="A188" s="9" t="s">
        <v>992</v>
      </c>
      <c r="B188" s="9" t="s">
        <v>113</v>
      </c>
      <c r="C188" s="4" t="s">
        <v>993</v>
      </c>
      <c r="D188" s="4" t="s">
        <v>1405</v>
      </c>
      <c r="E188" s="19">
        <f>INDEX(Rubricas!$M$4:$M$112,MATCH(A188,Rubricas!$A$4:$A$112,0))</f>
        <v>2</v>
      </c>
      <c r="F188" s="22">
        <v>2</v>
      </c>
      <c r="G188" s="17" t="s">
        <v>1520</v>
      </c>
      <c r="H188" s="9">
        <f>IF(ISNUMBER(F188),F188*E188,0)</f>
        <v>4</v>
      </c>
      <c r="I188" s="9">
        <f>IF(F188="N/A",0,3*E188)</f>
        <v>6</v>
      </c>
      <c r="J188" s="4" t="str">
        <f>IF(F188="","",IF(F188="N/A","⚠ Este criterio no admite N/A: calificar de 0 a 3.",IF(F188&lt;=1,INDEX(Rubricas!$O$4:$O$112,MATCH(A188,Rubricas!$A$4:$A$112,0)),IF(F188=2,"Por completar o validar – "&amp;INDEX(Rubricas!$F$4:$F$112,MATCH(A188,Rubricas!$A$4:$A$112,0)),""))))</f>
        <v>Por completar o validar – Modalidad contractual</v>
      </c>
      <c r="K188" s="23">
        <f>IF(ISNUMBER(F188),IF(F188&lt;3,(3-F188)*E188*VLOOKUP(B188,Parametros!$A$5:$D$15,4,0)*100+ROW()/100000,0),IF(F188="",0,0))</f>
        <v>6.0018799999999999</v>
      </c>
    </row>
    <row r="189" spans="1:11" ht="54" customHeight="1">
      <c r="A189" s="9" t="s">
        <v>1000</v>
      </c>
      <c r="B189" s="9" t="s">
        <v>113</v>
      </c>
      <c r="C189" s="4" t="s">
        <v>993</v>
      </c>
      <c r="D189" s="4" t="s">
        <v>1406</v>
      </c>
      <c r="E189" s="19">
        <f>INDEX(Rubricas!$M$4:$M$112,MATCH(A189,Rubricas!$A$4:$A$112,0))</f>
        <v>2</v>
      </c>
      <c r="F189" s="22">
        <v>1</v>
      </c>
      <c r="G189" s="17" t="s">
        <v>1521</v>
      </c>
      <c r="H189" s="9">
        <f>IF(ISNUMBER(F189),F189*E189,0)</f>
        <v>2</v>
      </c>
      <c r="I189" s="9">
        <f>IF(F189="N/A",0,3*E189)</f>
        <v>6</v>
      </c>
      <c r="J189" s="4" t="str">
        <f>IF(F189="","",IF(F189="N/A","⚠ Este criterio no admite N/A: calificar de 0 a 3.",IF(F189&lt;=1,INDEX(Rubricas!$O$4:$O$112,MATCH(A189,Rubricas!$A$4:$A$112,0)),IF(F189=2,"Por completar o validar – "&amp;INDEX(Rubricas!$F$4:$F$112,MATCH(A189,Rubricas!$A$4:$A$112,0)),""))))</f>
        <v>No se conocen los stakeholders ni el ciclo de aprobaciones.</v>
      </c>
      <c r="K189" s="23">
        <f>IF(ISNUMBER(F189),IF(F189&lt;3,(3-F189)*E189*VLOOKUP(B189,Parametros!$A$5:$D$15,4,0)*100+ROW()/100000,0),IF(F189="",0,0))</f>
        <v>12.00189</v>
      </c>
    </row>
    <row r="190" spans="1:11" ht="54" customHeight="1">
      <c r="A190" s="9" t="s">
        <v>1007</v>
      </c>
      <c r="B190" s="9" t="s">
        <v>113</v>
      </c>
      <c r="C190" s="4" t="s">
        <v>993</v>
      </c>
      <c r="D190" s="4" t="s">
        <v>1407</v>
      </c>
      <c r="E190" s="19">
        <f>INDEX(Rubricas!$M$4:$M$112,MATCH(A190,Rubricas!$A$4:$A$112,0))</f>
        <v>2</v>
      </c>
      <c r="F190" s="22">
        <v>2</v>
      </c>
      <c r="G190" s="17" t="s">
        <v>1522</v>
      </c>
      <c r="H190" s="9">
        <f>IF(ISNUMBER(F190),F190*E190,0)</f>
        <v>4</v>
      </c>
      <c r="I190" s="9">
        <f>IF(F190="N/A",0,3*E190)</f>
        <v>6</v>
      </c>
      <c r="J190" s="4" t="str">
        <f>IF(F190="","",IF(F190="N/A","⚠ Este criterio no admite N/A: calificar de 0 a 3.",IF(F190&lt;=1,INDEX(Rubricas!$O$4:$O$112,MATCH(A190,Rubricas!$A$4:$A$112,0)),IF(F190=2,"Por completar o validar – "&amp;INDEX(Rubricas!$F$4:$F$112,MATCH(A190,Rubricas!$A$4:$A$112,0)),""))))</f>
        <v>Por completar o validar – Restricciones de calendario</v>
      </c>
      <c r="K190" s="23">
        <f>IF(ISNUMBER(F190),IF(F190&lt;3,(3-F190)*E190*VLOOKUP(B190,Parametros!$A$5:$D$15,4,0)*100+ROW()/100000,0),IF(F190="",0,0))</f>
        <v>6.0019</v>
      </c>
    </row>
    <row r="191" spans="1:11" ht="54" customHeight="1">
      <c r="A191" s="9" t="s">
        <v>1014</v>
      </c>
      <c r="B191" s="9" t="s">
        <v>113</v>
      </c>
      <c r="C191" s="4" t="s">
        <v>984</v>
      </c>
      <c r="D191" s="4" t="s">
        <v>1408</v>
      </c>
      <c r="E191" s="19">
        <f>INDEX(Rubricas!$M$4:$M$112,MATCH(A191,Rubricas!$A$4:$A$112,0))</f>
        <v>1</v>
      </c>
      <c r="F191" s="22">
        <v>1</v>
      </c>
      <c r="G191" s="17" t="s">
        <v>1523</v>
      </c>
      <c r="H191" s="9">
        <f>IF(ISNUMBER(F191),F191*E191,0)</f>
        <v>1</v>
      </c>
      <c r="I191" s="9">
        <f>IF(F191="N/A",0,3*E191)</f>
        <v>3</v>
      </c>
      <c r="J191" s="4" t="str">
        <f>IF(F191="","",IF(F191="N/A","⚠ Este criterio no admite N/A: calificar de 0 a 3.",IF(F191&lt;=1,INDEX(Rubricas!$O$4:$O$112,MATCH(A191,Rubricas!$A$4:$A$112,0)),IF(F191=2,"Por completar o validar – "&amp;INDEX(Rubricas!$F$4:$F$112,MATCH(A191,Rubricas!$A$4:$A$112,0)),""))))</f>
        <v>No se conocen los requisitos documentales y de auditoría del cliente.</v>
      </c>
      <c r="K191" s="23">
        <f>IF(ISNUMBER(F191),IF(F191&lt;3,(3-F191)*E191*VLOOKUP(B191,Parametros!$A$5:$D$15,4,0)*100+ROW()/100000,0),IF(F191="",0,0))</f>
        <v>6.0019099999999996</v>
      </c>
    </row>
    <row r="192" spans="1:11">
      <c r="A192" s="29" t="str">
        <f>"D11 · Evidencia histórica disponible — Complementaria · peso "&amp;TEXT(Parametros!$D$15,"0%")&amp;" · 7 criterios"</f>
        <v>D11 · Evidencia histórica disponible — Complementaria · peso 5% · 7 criterios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</row>
    <row r="193" spans="1:11" ht="54" customHeight="1">
      <c r="A193" s="9" t="s">
        <v>1021</v>
      </c>
      <c r="B193" s="9" t="s">
        <v>120</v>
      </c>
      <c r="C193" s="4" t="s">
        <v>1022</v>
      </c>
      <c r="D193" s="4" t="s">
        <v>1409</v>
      </c>
      <c r="E193" s="19">
        <f>INDEX(Rubricas!$M$4:$M$112,MATCH(A193,Rubricas!$A$4:$A$112,0))</f>
        <v>3</v>
      </c>
      <c r="F193" s="22">
        <v>1</v>
      </c>
      <c r="G193" s="17" t="s">
        <v>1524</v>
      </c>
      <c r="H193" s="9">
        <f>IF(ISNUMBER(F193),F193*E193,0)</f>
        <v>3</v>
      </c>
      <c r="I193" s="9">
        <f>IF(F193="N/A",0,3*E193)</f>
        <v>9</v>
      </c>
      <c r="J193" s="4" t="str">
        <f>IF(F193="","",IF(F193="N/A","⚠ Este criterio no admite N/A: calificar de 0 a 3.",IF(F193&lt;=1,INDEX(Rubricas!$O$4:$O$112,MATCH(A193,Rubricas!$A$4:$A$112,0)),IF(F193=2,"Por completar o validar – "&amp;INDEX(Rubricas!$F$4:$F$112,MATCH(A193,Rubricas!$A$4:$A$112,0)),""))))</f>
        <v>Hay pocos o ningún proyecto comparable.</v>
      </c>
      <c r="K193" s="23">
        <f>IF(ISNUMBER(F193),IF(F193&lt;3,(3-F193)*E193*VLOOKUP(B193,Parametros!$A$5:$D$15,4,0)*100+ROW()/100000,0),IF(F193="",0,0))</f>
        <v>30.001930000000005</v>
      </c>
    </row>
    <row r="194" spans="1:11" ht="54" customHeight="1">
      <c r="A194" s="9" t="s">
        <v>1031</v>
      </c>
      <c r="B194" s="9" t="s">
        <v>120</v>
      </c>
      <c r="C194" s="4" t="s">
        <v>1022</v>
      </c>
      <c r="D194" s="4" t="s">
        <v>1410</v>
      </c>
      <c r="E194" s="19">
        <f>INDEX(Rubricas!$M$4:$M$112,MATCH(A194,Rubricas!$A$4:$A$112,0))</f>
        <v>3</v>
      </c>
      <c r="F194" s="22">
        <v>2</v>
      </c>
      <c r="G194" s="17" t="s">
        <v>1525</v>
      </c>
      <c r="H194" s="9">
        <f>IF(ISNUMBER(F194),F194*E194,0)</f>
        <v>6</v>
      </c>
      <c r="I194" s="9">
        <f>IF(F194="N/A",0,3*E194)</f>
        <v>9</v>
      </c>
      <c r="J194" s="4" t="str">
        <f>IF(F194="","",IF(F194="N/A","⚠ Este criterio no admite N/A: calificar de 0 a 3.",IF(F194&lt;=1,INDEX(Rubricas!$O$4:$O$112,MATCH(A194,Rubricas!$A$4:$A$112,0)),IF(F194=2,"Por completar o validar – "&amp;INDEX(Rubricas!$F$4:$F$112,MATCH(A194,Rubricas!$A$4:$A$112,0)),""))))</f>
        <v>Por completar o validar – Similitud de los comparables</v>
      </c>
      <c r="K194" s="23">
        <f>IF(ISNUMBER(F194),IF(F194&lt;3,(3-F194)*E194*VLOOKUP(B194,Parametros!$A$5:$D$15,4,0)*100+ROW()/100000,0),IF(F194="",0,0))</f>
        <v>15.001940000000001</v>
      </c>
    </row>
    <row r="195" spans="1:11" ht="54" customHeight="1">
      <c r="A195" s="9" t="s">
        <v>1040</v>
      </c>
      <c r="B195" s="9" t="s">
        <v>120</v>
      </c>
      <c r="C195" s="4" t="s">
        <v>1041</v>
      </c>
      <c r="D195" s="4" t="s">
        <v>1411</v>
      </c>
      <c r="E195" s="19">
        <f>INDEX(Rubricas!$M$4:$M$112,MATCH(A195,Rubricas!$A$4:$A$112,0))</f>
        <v>3</v>
      </c>
      <c r="F195" s="22">
        <v>1</v>
      </c>
      <c r="G195" s="17" t="s">
        <v>1526</v>
      </c>
      <c r="H195" s="9">
        <f>IF(ISNUMBER(F195),F195*E195,0)</f>
        <v>3</v>
      </c>
      <c r="I195" s="9">
        <f>IF(F195="N/A",0,3*E195)</f>
        <v>9</v>
      </c>
      <c r="J195" s="4" t="str">
        <f>IF(F195="","",IF(F195="N/A","⚠ Este criterio no admite N/A: calificar de 0 a 3.",IF(F195&lt;=1,INDEX(Rubricas!$O$4:$O$112,MATCH(A195,Rubricas!$A$4:$A$112,0)),IF(F195=2,"Por completar o validar – "&amp;INDEX(Rubricas!$F$4:$F$112,MATCH(A195,Rubricas!$A$4:$A$112,0)),""))))</f>
        <v>Los datos de los comparables están incompletos.</v>
      </c>
      <c r="K195" s="23">
        <f>IF(ISNUMBER(F195),IF(F195&lt;3,(3-F195)*E195*VLOOKUP(B195,Parametros!$A$5:$D$15,4,0)*100+ROW()/100000,0),IF(F195="",0,0))</f>
        <v>30.001950000000004</v>
      </c>
    </row>
    <row r="196" spans="1:11" ht="54" customHeight="1">
      <c r="A196" s="9" t="s">
        <v>1050</v>
      </c>
      <c r="B196" s="9" t="s">
        <v>120</v>
      </c>
      <c r="C196" s="4" t="s">
        <v>1041</v>
      </c>
      <c r="D196" s="4" t="s">
        <v>1412</v>
      </c>
      <c r="E196" s="19">
        <f>INDEX(Rubricas!$M$4:$M$112,MATCH(A196,Rubricas!$A$4:$A$112,0))</f>
        <v>2</v>
      </c>
      <c r="F196" s="22">
        <v>1</v>
      </c>
      <c r="G196" s="17" t="s">
        <v>1527</v>
      </c>
      <c r="H196" s="9">
        <f>IF(ISNUMBER(F196),F196*E196,0)</f>
        <v>2</v>
      </c>
      <c r="I196" s="9">
        <f>IF(F196="N/A",0,3*E196)</f>
        <v>6</v>
      </c>
      <c r="J196" s="4" t="str">
        <f>IF(F196="","",IF(F196="N/A","⚠ Este criterio no admite N/A: calificar de 0 a 3.",IF(F196&lt;=1,INDEX(Rubricas!$O$4:$O$112,MATCH(A196,Rubricas!$A$4:$A$112,0)),IF(F196=2,"Por completar o validar – "&amp;INDEX(Rubricas!$F$4:$F$112,MATCH(A196,Rubricas!$A$4:$A$112,0)),""))))</f>
        <v>El registro histórico es inconsistente.</v>
      </c>
      <c r="K196" s="23">
        <f>IF(ISNUMBER(F196),IF(F196&lt;3,(3-F196)*E196*VLOOKUP(B196,Parametros!$A$5:$D$15,4,0)*100+ROW()/100000,0),IF(F196="",0,0))</f>
        <v>20.00196</v>
      </c>
    </row>
    <row r="197" spans="1:11" ht="54" customHeight="1">
      <c r="A197" s="9" t="s">
        <v>1059</v>
      </c>
      <c r="B197" s="9" t="s">
        <v>120</v>
      </c>
      <c r="C197" s="4" t="s">
        <v>1060</v>
      </c>
      <c r="D197" s="4" t="s">
        <v>1413</v>
      </c>
      <c r="E197" s="19">
        <f>INDEX(Rubricas!$M$4:$M$112,MATCH(A197,Rubricas!$A$4:$A$112,0))</f>
        <v>2</v>
      </c>
      <c r="F197" s="22">
        <v>0</v>
      </c>
      <c r="G197" s="17" t="s">
        <v>1528</v>
      </c>
      <c r="H197" s="9">
        <f>IF(ISNUMBER(F197),F197*E197,0)</f>
        <v>0</v>
      </c>
      <c r="I197" s="9">
        <f>IF(F197="N/A",0,3*E197)</f>
        <v>6</v>
      </c>
      <c r="J197" s="4" t="str">
        <f>IF(F197="","",IF(F197="N/A","⚠ Este criterio no admite N/A: calificar de 0 a 3.",IF(F197&lt;=1,INDEX(Rubricas!$O$4:$O$112,MATCH(A197,Rubricas!$A$4:$A$112,0)),IF(F197=2,"Por completar o validar – "&amp;INDEX(Rubricas!$F$4:$F$112,MATCH(A197,Rubricas!$A$4:$A$112,0)),""))))</f>
        <v>El tamaño de los comparables no está normalizado.</v>
      </c>
      <c r="K197" s="23">
        <f>IF(ISNUMBER(F197),IF(F197&lt;3,(3-F197)*E197*VLOOKUP(B197,Parametros!$A$5:$D$15,4,0)*100+ROW()/100000,0),IF(F197="",0,0))</f>
        <v>30.001970000000004</v>
      </c>
    </row>
    <row r="198" spans="1:11" ht="54" customHeight="1">
      <c r="A198" s="9" t="s">
        <v>1069</v>
      </c>
      <c r="B198" s="9" t="s">
        <v>120</v>
      </c>
      <c r="C198" s="4" t="s">
        <v>1060</v>
      </c>
      <c r="D198" s="4" t="s">
        <v>1414</v>
      </c>
      <c r="E198" s="19">
        <f>INDEX(Rubricas!$M$4:$M$112,MATCH(A198,Rubricas!$A$4:$A$112,0))</f>
        <v>2</v>
      </c>
      <c r="F198" s="22">
        <v>1</v>
      </c>
      <c r="G198" s="17" t="s">
        <v>1529</v>
      </c>
      <c r="H198" s="9">
        <f>IF(ISNUMBER(F198),F198*E198,0)</f>
        <v>2</v>
      </c>
      <c r="I198" s="9">
        <f>IF(F198="N/A",0,3*E198)</f>
        <v>6</v>
      </c>
      <c r="J198" s="4" t="str">
        <f>IF(F198="","",IF(F198="N/A","⚠ Este criterio no admite N/A: calificar de 0 a 3.",IF(F198&lt;=1,INDEX(Rubricas!$O$4:$O$112,MATCH(A198,Rubricas!$A$4:$A$112,0)),IF(F198=2,"Por completar o validar – "&amp;INDEX(Rubricas!$F$4:$F$112,MATCH(A198,Rubricas!$A$4:$A$112,0)),""))))</f>
        <v>No se calculó la productividad histórica.</v>
      </c>
      <c r="K198" s="23">
        <f>IF(ISNUMBER(F198),IF(F198&lt;3,(3-F198)*E198*VLOOKUP(B198,Parametros!$A$5:$D$15,4,0)*100+ROW()/100000,0),IF(F198="",0,0))</f>
        <v>20.00198</v>
      </c>
    </row>
    <row r="199" spans="1:11" ht="54" customHeight="1">
      <c r="A199" s="9" t="s">
        <v>1078</v>
      </c>
      <c r="B199" s="9" t="s">
        <v>120</v>
      </c>
      <c r="C199" s="4" t="s">
        <v>1022</v>
      </c>
      <c r="D199" s="4" t="s">
        <v>1415</v>
      </c>
      <c r="E199" s="19">
        <f>INDEX(Rubricas!$M$4:$M$112,MATCH(A199,Rubricas!$A$4:$A$112,0))</f>
        <v>1</v>
      </c>
      <c r="F199" s="22">
        <v>3</v>
      </c>
      <c r="G199" s="17" t="s">
        <v>1530</v>
      </c>
      <c r="H199" s="9">
        <f>IF(ISNUMBER(F199),F199*E199,0)</f>
        <v>3</v>
      </c>
      <c r="I199" s="9">
        <f>IF(F199="N/A",0,3*E199)</f>
        <v>3</v>
      </c>
      <c r="J199" s="4" t="str">
        <f>IF(F199="","",IF(F199="N/A","⚠ Este criterio no admite N/A: calificar de 0 a 3.",IF(F199&lt;=1,INDEX(Rubricas!$O$4:$O$112,MATCH(A199,Rubricas!$A$4:$A$112,0)),IF(F199=2,"Por completar o validar – "&amp;INDEX(Rubricas!$F$4:$F$112,MATCH(A199,Rubricas!$A$4:$A$112,0)),""))))</f>
        <v/>
      </c>
      <c r="K199" s="23">
        <f>IF(ISNUMBER(F199),IF(F199&lt;3,(3-F199)*E199*VLOOKUP(B199,Parametros!$A$5:$D$15,4,0)*100+ROW()/100000,0),IF(F199="",0,0))</f>
        <v>0</v>
      </c>
    </row>
  </sheetData>
  <mergeCells count="143">
    <mergeCell ref="A1:K1"/>
    <mergeCell ref="A2:K2"/>
    <mergeCell ref="A4:C4"/>
    <mergeCell ref="A5:C5"/>
    <mergeCell ref="A6:C6"/>
    <mergeCell ref="A7:C7"/>
    <mergeCell ref="A8:C8"/>
    <mergeCell ref="A9:C9"/>
    <mergeCell ref="A10:C10"/>
    <mergeCell ref="A12:K12"/>
    <mergeCell ref="A13:C13"/>
    <mergeCell ref="E13:F13"/>
    <mergeCell ref="H13:K13"/>
    <mergeCell ref="A14:C17"/>
    <mergeCell ref="E14:F14"/>
    <mergeCell ref="H14:K17"/>
    <mergeCell ref="E15:F15"/>
    <mergeCell ref="E16:F16"/>
    <mergeCell ref="E17:F17"/>
    <mergeCell ref="A18:C20"/>
    <mergeCell ref="E18:F18"/>
    <mergeCell ref="H18:K20"/>
    <mergeCell ref="E19:F19"/>
    <mergeCell ref="E20:F20"/>
    <mergeCell ref="A21:C23"/>
    <mergeCell ref="E21:F21"/>
    <mergeCell ref="H21:K23"/>
    <mergeCell ref="E22:F22"/>
    <mergeCell ref="E23:F23"/>
    <mergeCell ref="A24:C28"/>
    <mergeCell ref="E24:F24"/>
    <mergeCell ref="H24:K28"/>
    <mergeCell ref="E25:F25"/>
    <mergeCell ref="E26:F26"/>
    <mergeCell ref="E27:F27"/>
    <mergeCell ref="E28:F28"/>
    <mergeCell ref="A29:C31"/>
    <mergeCell ref="E29:F29"/>
    <mergeCell ref="H29:K31"/>
    <mergeCell ref="E30:F30"/>
    <mergeCell ref="E31:F31"/>
    <mergeCell ref="A32:C32"/>
    <mergeCell ref="E32:F32"/>
    <mergeCell ref="H32:K32"/>
    <mergeCell ref="A33:C33"/>
    <mergeCell ref="E33:F33"/>
    <mergeCell ref="H33:K33"/>
    <mergeCell ref="A34:C34"/>
    <mergeCell ref="E34:F34"/>
    <mergeCell ref="H34:K34"/>
    <mergeCell ref="A35:C35"/>
    <mergeCell ref="E35:F35"/>
    <mergeCell ref="H35:K35"/>
    <mergeCell ref="A36:C36"/>
    <mergeCell ref="E36:F36"/>
    <mergeCell ref="H36:K36"/>
    <mergeCell ref="A37:C37"/>
    <mergeCell ref="E37:F37"/>
    <mergeCell ref="H37:K37"/>
    <mergeCell ref="A40:K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E53"/>
    <mergeCell ref="H53:J53"/>
    <mergeCell ref="A54:E54"/>
    <mergeCell ref="G54:J54"/>
    <mergeCell ref="A55:E55"/>
    <mergeCell ref="G55:J55"/>
    <mergeCell ref="A56:C56"/>
    <mergeCell ref="D56:J56"/>
    <mergeCell ref="A57:C57"/>
    <mergeCell ref="D57:J57"/>
    <mergeCell ref="A59:K59"/>
    <mergeCell ref="B60:D60"/>
    <mergeCell ref="E60:F60"/>
    <mergeCell ref="G60:K60"/>
    <mergeCell ref="B61:D61"/>
    <mergeCell ref="E61:F61"/>
    <mergeCell ref="G61:K61"/>
    <mergeCell ref="B62:D62"/>
    <mergeCell ref="E62:F62"/>
    <mergeCell ref="G62:K62"/>
    <mergeCell ref="B63:D63"/>
    <mergeCell ref="E63:F63"/>
    <mergeCell ref="G63:K63"/>
    <mergeCell ref="B64:D64"/>
    <mergeCell ref="E64:F64"/>
    <mergeCell ref="G64:K64"/>
    <mergeCell ref="B65:D65"/>
    <mergeCell ref="E65:F65"/>
    <mergeCell ref="G65:K65"/>
    <mergeCell ref="B66:D66"/>
    <mergeCell ref="E66:F66"/>
    <mergeCell ref="G66:K66"/>
    <mergeCell ref="B67:D67"/>
    <mergeCell ref="E67:F67"/>
    <mergeCell ref="G67:K67"/>
    <mergeCell ref="B68:D68"/>
    <mergeCell ref="E68:F68"/>
    <mergeCell ref="G68:K68"/>
    <mergeCell ref="B69:D69"/>
    <mergeCell ref="E69:F69"/>
    <mergeCell ref="G69:K69"/>
    <mergeCell ref="B70:D70"/>
    <mergeCell ref="E70:F70"/>
    <mergeCell ref="G70:K70"/>
    <mergeCell ref="B71:D71"/>
    <mergeCell ref="E71:F71"/>
    <mergeCell ref="G71:K71"/>
    <mergeCell ref="B72:D72"/>
    <mergeCell ref="E72:F72"/>
    <mergeCell ref="G72:K72"/>
    <mergeCell ref="B73:D73"/>
    <mergeCell ref="E73:F73"/>
    <mergeCell ref="G73:K73"/>
    <mergeCell ref="B74:D74"/>
    <mergeCell ref="E74:F74"/>
    <mergeCell ref="G74:K74"/>
    <mergeCell ref="B75:D75"/>
    <mergeCell ref="E75:F75"/>
    <mergeCell ref="G75:K75"/>
    <mergeCell ref="A78:K78"/>
    <mergeCell ref="A80:K80"/>
    <mergeCell ref="A93:K93"/>
    <mergeCell ref="A106:K106"/>
    <mergeCell ref="A121:K121"/>
    <mergeCell ref="A134:K134"/>
    <mergeCell ref="A148:K148"/>
    <mergeCell ref="A156:K156"/>
    <mergeCell ref="A164:K164"/>
    <mergeCell ref="A176:K176"/>
    <mergeCell ref="A185:K185"/>
    <mergeCell ref="A192:K192"/>
  </mergeCells>
  <conditionalFormatting sqref="F80:F240">
    <cfRule type="expression" dxfId="9" priority="2">
      <formula>AND(ISNUMBER(F80),F80=0)</formula>
    </cfRule>
    <cfRule type="expression" dxfId="8" priority="3">
      <formula>AND(ISNUMBER(F80),F80=1)</formula>
    </cfRule>
    <cfRule type="expression" dxfId="7" priority="4">
      <formula>AND(ISNUMBER(F80),F80=2)</formula>
    </cfRule>
    <cfRule type="expression" dxfId="6" priority="5">
      <formula>AND(ISNUMBER(F80),F80=3)</formula>
    </cfRule>
    <cfRule type="expression" dxfId="5" priority="6">
      <formula>F80="N/A"</formula>
    </cfRule>
  </conditionalFormatting>
  <conditionalFormatting sqref="J80:J240">
    <cfRule type="expression" dxfId="4" priority="7">
      <formula>LEFT(J80,1)="⚠"</formula>
    </cfRule>
  </conditionalFormatting>
  <conditionalFormatting sqref="F42:F53">
    <cfRule type="colorScale" priority="8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61:E75">
    <cfRule type="expression" dxfId="3" priority="9">
      <formula>E61="⚠ Revisar"</formula>
    </cfRule>
    <cfRule type="expression" dxfId="2" priority="10">
      <formula>E61="OK"</formula>
    </cfRule>
  </conditionalFormatting>
  <dataValidations count="4">
    <dataValidation type="decimal" allowBlank="1" showErrorMessage="1" error="Ingrese un porcentaje entre 0% y 100%." sqref="E14:E17 E20 E32" xr:uid="{00000000-0002-0000-0500-000000000000}">
      <formula1>0</formula1>
      <formula2>1</formula2>
    </dataValidation>
    <dataValidation type="whole" operator="greaterThanOrEqual" allowBlank="1" sqref="E21 E23 E29 E37" xr:uid="{00000000-0002-0000-0500-000001000000}">
      <formula1>0</formula1>
      <formula2>0</formula2>
    </dataValidation>
    <dataValidation type="list" allowBlank="1" showErrorMessage="1" errorTitle="Puntaje no válido" error="Use 0, 1, 2, 3 o N/A." sqref="F80:F240" xr:uid="{00000000-0002-0000-0500-000002000000}">
      <formula1>"0,1,2,3,N/A"</formula1>
      <formula2>0</formula2>
    </dataValidation>
    <dataValidation type="list" allowBlank="1" sqref="E24:E28" xr:uid="{00000000-0002-0000-0500-000009000000}">
      <formula1>"0,1,2"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500-000003000000}">
          <x14:formula1>
            <xm:f>Parametros!$H$4:$H$9</xm:f>
          </x14:formula1>
          <x14:formula2>
            <xm:f>0</xm:f>
          </x14:formula2>
          <xm:sqref>E18</xm:sqref>
        </x14:dataValidation>
        <x14:dataValidation type="list" allowBlank="1" xr:uid="{00000000-0002-0000-0500-000004000000}">
          <x14:formula1>
            <xm:f>Parametros!$M$4:$M$5</xm:f>
          </x14:formula1>
          <x14:formula2>
            <xm:f>0</xm:f>
          </x14:formula2>
          <xm:sqref>E30:E31</xm:sqref>
        </x14:dataValidation>
        <x14:dataValidation type="list" allowBlank="1" xr:uid="{00000000-0002-0000-0500-000006000000}">
          <x14:formula1>
            <xm:f>Parametros!$J$4:$J$7</xm:f>
          </x14:formula1>
          <x14:formula2>
            <xm:f>0</xm:f>
          </x14:formula2>
          <xm:sqref>E33</xm:sqref>
        </x14:dataValidation>
        <x14:dataValidation type="list" allowBlank="1" xr:uid="{00000000-0002-0000-0500-000007000000}">
          <x14:formula1>
            <xm:f>Parametros!$K$4:$K$6</xm:f>
          </x14:formula1>
          <x14:formula2>
            <xm:f>0</xm:f>
          </x14:formula2>
          <xm:sqref>E35</xm:sqref>
        </x14:dataValidation>
        <x14:dataValidation type="list" allowBlank="1" xr:uid="{00000000-0002-0000-0500-000008000000}">
          <x14:formula1>
            <xm:f>Parametros!$L$4:$L$9</xm:f>
          </x14:formula1>
          <x14:formula2>
            <xm:f>0</xm:f>
          </x14:formula2>
          <xm:sqref>E36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108"/>
  <sheetViews>
    <sheetView zoomScale="90" zoomScaleNormal="90" workbookViewId="0">
      <pane ySplit="3" topLeftCell="A4" activePane="bottomLeft" state="frozen"/>
      <selection pane="bottomLeft"/>
    </sheetView>
  </sheetViews>
  <sheetFormatPr defaultColWidth="8.7109375" defaultRowHeight="15"/>
  <cols>
    <col min="1" max="1" width="2" customWidth="1"/>
    <col min="2" max="2" width="36" customWidth="1"/>
    <col min="3" max="3" width="16" customWidth="1"/>
    <col min="4" max="4" width="10" customWidth="1"/>
    <col min="5" max="5" width="11" customWidth="1"/>
    <col min="6" max="6" width="17" customWidth="1"/>
    <col min="7" max="7" width="10" customWidth="1"/>
    <col min="8" max="8" width="8" customWidth="1"/>
    <col min="9" max="13" width="7" customWidth="1"/>
    <col min="14" max="14" width="9" customWidth="1"/>
    <col min="15" max="15" width="62" customWidth="1"/>
    <col min="16" max="16" width="10" customWidth="1"/>
  </cols>
  <sheetData>
    <row r="1" spans="2:15" ht="27.75" customHeight="1">
      <c r="B1" s="47" t="s">
        <v>1531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3" spans="2:15" ht="15" customHeight="1">
      <c r="B3" s="3" t="s">
        <v>1532</v>
      </c>
      <c r="C3" s="22" t="s">
        <v>1533</v>
      </c>
      <c r="D3" s="48" t="s">
        <v>1534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5" spans="2:15">
      <c r="B5" s="3" t="s">
        <v>1196</v>
      </c>
      <c r="C5" s="49" t="str">
        <f ca="1">IF(INDIRECT("'"&amp;$C$3&amp;"'!D4")="","",INDIRECT("'"&amp;$C$3&amp;"'!D4"))</f>
        <v>Portal de gestión y firma electrónica de contratos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2:15">
      <c r="B6" s="3" t="s">
        <v>1197</v>
      </c>
      <c r="C6" s="49" t="str">
        <f ca="1">IF(INDIRECT("'"&amp;$C$3&amp;"'!D5")="","",INDIRECT("'"&amp;$C$3&amp;"'!D5"))</f>
        <v>Entidad pública – Dirección de Contratación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2:15">
      <c r="B7" s="3" t="s">
        <v>1198</v>
      </c>
      <c r="C7" s="49" t="str">
        <f ca="1">IF(INDIRECT("'"&amp;$C$3&amp;"'!D6")="","",INDIRECT("'"&amp;$C$3&amp;"'!D6"))</f>
        <v>Arquitecto de soluciones + Líder de estimación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2:15">
      <c r="B8" s="3" t="s">
        <v>1199</v>
      </c>
      <c r="C8" s="49" t="str">
        <f ca="1">IF(INDIRECT("'"&amp;$C$3&amp;"'!D7")="","",INDIRECT("'"&amp;$C$3&amp;"'!D7"))</f>
        <v>2026-09-22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2:15">
      <c r="B9" s="3" t="s">
        <v>1200</v>
      </c>
      <c r="C9" s="49" t="str">
        <f ca="1">IF(INDIRECT("'"&amp;$C$3&amp;"'!D8")="","",INDIRECT("'"&amp;$C$3&amp;"'!D8"))</f>
        <v>Propuesta comercial (preventa)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  <row r="11" spans="2:15" ht="15" customHeight="1">
      <c r="B11" s="14" t="s">
        <v>1535</v>
      </c>
      <c r="C11" s="51" t="s">
        <v>1536</v>
      </c>
      <c r="D11" s="51"/>
      <c r="E11" s="51"/>
      <c r="F11" s="51" t="s">
        <v>1215</v>
      </c>
      <c r="G11" s="51"/>
      <c r="H11" s="51"/>
      <c r="I11" s="51"/>
      <c r="J11" s="51"/>
      <c r="K11" s="51"/>
      <c r="L11" s="51"/>
      <c r="M11" s="51"/>
      <c r="N11" s="51"/>
      <c r="O11" s="14" t="s">
        <v>1150</v>
      </c>
    </row>
    <row r="12" spans="2:15" ht="45.75" customHeight="1">
      <c r="B12" s="24">
        <f ca="1">INDIRECT("'"&amp;$C$3&amp;"'!F53")</f>
        <v>0.56716232968371816</v>
      </c>
      <c r="C12" s="52" t="str">
        <f ca="1">INDIRECT("'"&amp;$C$3&amp;"'!G55")</f>
        <v>N3 - Intermedio</v>
      </c>
      <c r="D12" s="52"/>
      <c r="E12" s="52"/>
      <c r="F12" s="53" t="str">
        <f ca="1">INDIRECT("'"&amp;$C$3&amp;"'!G18")</f>
        <v>Aplicaciones y soluciones digitales</v>
      </c>
      <c r="G12" s="53"/>
      <c r="H12" s="53"/>
      <c r="I12" s="53"/>
      <c r="J12" s="53"/>
      <c r="K12" s="53"/>
      <c r="L12" s="53"/>
      <c r="M12" s="53"/>
      <c r="N12" s="53"/>
      <c r="O12" s="25" t="str">
        <f ca="1">INDIRECT("'"&amp;$C$3&amp;"'!D57")</f>
        <v>Analogía con histórico + descomposición (WBS); estimación preliminar.</v>
      </c>
    </row>
    <row r="14" spans="2:15">
      <c r="B14" s="50" t="s">
        <v>1537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</row>
    <row r="15" spans="2:15" ht="23.85">
      <c r="B15" s="5" t="s">
        <v>38</v>
      </c>
      <c r="C15" s="5" t="s">
        <v>39</v>
      </c>
      <c r="D15" s="5" t="s">
        <v>40</v>
      </c>
      <c r="E15" s="5" t="s">
        <v>1253</v>
      </c>
      <c r="F15" s="5" t="s">
        <v>1147</v>
      </c>
      <c r="G15" s="5" t="s">
        <v>1538</v>
      </c>
      <c r="H15" s="5" t="s">
        <v>45</v>
      </c>
      <c r="I15" s="5" t="s">
        <v>1539</v>
      </c>
      <c r="J15" s="5" t="s">
        <v>1540</v>
      </c>
      <c r="K15" s="5" t="s">
        <v>1541</v>
      </c>
      <c r="L15" s="5" t="s">
        <v>1542</v>
      </c>
      <c r="M15" s="5" t="s">
        <v>1142</v>
      </c>
      <c r="N15" s="5" t="s">
        <v>1543</v>
      </c>
      <c r="O15" s="5" t="s">
        <v>1544</v>
      </c>
    </row>
    <row r="16" spans="2:15" ht="39.75" customHeight="1">
      <c r="B16" s="1" t="s">
        <v>1208</v>
      </c>
      <c r="C16" s="9" t="str">
        <f ca="1">INDIRECT("'"&amp;$C$3&amp;"'!H42")</f>
        <v>Núcleo</v>
      </c>
      <c r="D16" s="26">
        <f ca="1">INDIRECT("'"&amp;$C$3&amp;"'!E42")</f>
        <v>0.12</v>
      </c>
      <c r="E16" s="18">
        <f ca="1">INDIRECT("'"&amp;$C$3&amp;"'!F42")</f>
        <v>0.6</v>
      </c>
      <c r="F16" s="9" t="str">
        <f ca="1">INDIRECT("'"&amp;$C$3&amp;"'!G42")</f>
        <v>N4 - Definido</v>
      </c>
      <c r="G16" s="20">
        <f ca="1">INDIRECT("'"&amp;$C$3&amp;"'!I42")</f>
        <v>7.1999999999999981E-2</v>
      </c>
      <c r="H16" s="9">
        <f ca="1">COUNTIF(INDIRECT("'"&amp;$C$3&amp;"'!$B$80:$B$240"),"D1")</f>
        <v>12</v>
      </c>
      <c r="I16" s="9">
        <f ca="1">COUNTIFS(INDIRECT("'"&amp;$C$3&amp;"'!$B$80:$B$240"),"D1",INDIRECT("'"&amp;$C$3&amp;"'!$F$80:$F$240"),0)</f>
        <v>0</v>
      </c>
      <c r="J16" s="9">
        <f ca="1">COUNTIFS(INDIRECT("'"&amp;$C$3&amp;"'!$B$80:$B$240"),"D1",INDIRECT("'"&amp;$C$3&amp;"'!$F$80:$F$240"),1)</f>
        <v>4</v>
      </c>
      <c r="K16" s="9">
        <f ca="1">COUNTIFS(INDIRECT("'"&amp;$C$3&amp;"'!$B$80:$B$240"),"D1",INDIRECT("'"&amp;$C$3&amp;"'!$F$80:$F$240"),2)</f>
        <v>5</v>
      </c>
      <c r="L16" s="9">
        <f ca="1">COUNTIFS(INDIRECT("'"&amp;$C$3&amp;"'!$B$80:$B$240"),"D1",INDIRECT("'"&amp;$C$3&amp;"'!$F$80:$F$240"),3)</f>
        <v>2</v>
      </c>
      <c r="M16" s="9">
        <f ca="1">COUNTIFS(INDIRECT("'"&amp;$C$3&amp;"'!$B$80:$B$240"),"D1",INDIRECT("'"&amp;$C$3&amp;"'!$F$80:$F$240"),"N/A")</f>
        <v>1</v>
      </c>
      <c r="N16" s="9">
        <f ca="1">H16-SUM(I16:M16)</f>
        <v>0</v>
      </c>
      <c r="O16" s="4" t="str">
        <f ca="1">INDIRECT("'"&amp;$C$3&amp;"'!D42")</f>
        <v>No se detalla qué cambia en las funcionalidades existentes. En evolutivos el tamaño es la suma de movimientos de datos agregados, modificados y eliminados; identificarlos.</v>
      </c>
    </row>
    <row r="17" spans="2:15" ht="39.75" customHeight="1">
      <c r="B17" s="1" t="s">
        <v>1214</v>
      </c>
      <c r="C17" s="9" t="str">
        <f ca="1">INDIRECT("'"&amp;$C$3&amp;"'!H43")</f>
        <v>Núcleo</v>
      </c>
      <c r="D17" s="26">
        <f ca="1">INDIRECT("'"&amp;$C$3&amp;"'!E43")</f>
        <v>0.11</v>
      </c>
      <c r="E17" s="18">
        <f ca="1">INDIRECT("'"&amp;$C$3&amp;"'!F43")</f>
        <v>0.71014492753623193</v>
      </c>
      <c r="F17" s="9" t="str">
        <f ca="1">INDIRECT("'"&amp;$C$3&amp;"'!G43")</f>
        <v>N4 - Definido</v>
      </c>
      <c r="G17" s="20">
        <f ca="1">INDIRECT("'"&amp;$C$3&amp;"'!I43")</f>
        <v>7.8115942028985502E-2</v>
      </c>
      <c r="H17" s="9">
        <f ca="1">COUNTIF(INDIRECT("'"&amp;$C$3&amp;"'!$B$80:$B$240"),"D2")</f>
        <v>12</v>
      </c>
      <c r="I17" s="9">
        <f ca="1">COUNTIFS(INDIRECT("'"&amp;$C$3&amp;"'!$B$80:$B$240"),"D2",INDIRECT("'"&amp;$C$3&amp;"'!$F$80:$F$240"),0)</f>
        <v>0</v>
      </c>
      <c r="J17" s="9">
        <f ca="1">COUNTIFS(INDIRECT("'"&amp;$C$3&amp;"'!$B$80:$B$240"),"D2",INDIRECT("'"&amp;$C$3&amp;"'!$F$80:$F$240"),1)</f>
        <v>2</v>
      </c>
      <c r="K17" s="9">
        <f ca="1">COUNTIFS(INDIRECT("'"&amp;$C$3&amp;"'!$B$80:$B$240"),"D2",INDIRECT("'"&amp;$C$3&amp;"'!$F$80:$F$240"),2)</f>
        <v>7</v>
      </c>
      <c r="L17" s="9">
        <f ca="1">COUNTIFS(INDIRECT("'"&amp;$C$3&amp;"'!$B$80:$B$240"),"D2",INDIRECT("'"&amp;$C$3&amp;"'!$F$80:$F$240"),3)</f>
        <v>3</v>
      </c>
      <c r="M17" s="9">
        <f ca="1">COUNTIFS(INDIRECT("'"&amp;$C$3&amp;"'!$B$80:$B$240"),"D2",INDIRECT("'"&amp;$C$3&amp;"'!$F$80:$F$240"),"N/A")</f>
        <v>0</v>
      </c>
      <c r="N17" s="9">
        <f ca="1">H17-SUM(I17:M17)</f>
        <v>0</v>
      </c>
      <c r="O17" s="4" t="str">
        <f ca="1">INDIRECT("'"&amp;$C$3&amp;"'!D43")</f>
        <v>Los drivers de los arquetipos secundarios no están cuantificados.</v>
      </c>
    </row>
    <row r="18" spans="2:15" ht="39.75" customHeight="1">
      <c r="B18" s="1" t="s">
        <v>1219</v>
      </c>
      <c r="C18" s="9" t="str">
        <f ca="1">INDIRECT("'"&amp;$C$3&amp;"'!H44")</f>
        <v>Núcleo</v>
      </c>
      <c r="D18" s="26">
        <f ca="1">INDIRECT("'"&amp;$C$3&amp;"'!E44")</f>
        <v>0.18</v>
      </c>
      <c r="E18" s="18">
        <f ca="1">INDIRECT("'"&amp;$C$3&amp;"'!F44")</f>
        <v>0.4946236559139785</v>
      </c>
      <c r="F18" s="9" t="str">
        <f ca="1">INDIRECT("'"&amp;$C$3&amp;"'!G44")</f>
        <v>N3 - Intermedio</v>
      </c>
      <c r="G18" s="20">
        <f ca="1">INDIRECT("'"&amp;$C$3&amp;"'!I44")</f>
        <v>8.9032258064516118E-2</v>
      </c>
      <c r="H18" s="9">
        <f ca="1">COUNTIF(INDIRECT("'"&amp;$C$3&amp;"'!$B$80:$B$240"),"D3")</f>
        <v>14</v>
      </c>
      <c r="I18" s="9">
        <f ca="1">COUNTIFS(INDIRECT("'"&amp;$C$3&amp;"'!$B$80:$B$240"),"D3",INDIRECT("'"&amp;$C$3&amp;"'!$F$80:$F$240"),0)</f>
        <v>1</v>
      </c>
      <c r="J18" s="9">
        <f ca="1">COUNTIFS(INDIRECT("'"&amp;$C$3&amp;"'!$B$80:$B$240"),"D3",INDIRECT("'"&amp;$C$3&amp;"'!$F$80:$F$240"),1)</f>
        <v>7</v>
      </c>
      <c r="K18" s="9">
        <f ca="1">COUNTIFS(INDIRECT("'"&amp;$C$3&amp;"'!$B$80:$B$240"),"D3",INDIRECT("'"&amp;$C$3&amp;"'!$F$80:$F$240"),2)</f>
        <v>6</v>
      </c>
      <c r="L18" s="9">
        <f ca="1">COUNTIFS(INDIRECT("'"&amp;$C$3&amp;"'!$B$80:$B$240"),"D3",INDIRECT("'"&amp;$C$3&amp;"'!$F$80:$F$240"),3)</f>
        <v>0</v>
      </c>
      <c r="M18" s="9">
        <f ca="1">COUNTIFS(INDIRECT("'"&amp;$C$3&amp;"'!$B$80:$B$240"),"D3",INDIRECT("'"&amp;$C$3&amp;"'!$F$80:$F$240"),"N/A")</f>
        <v>0</v>
      </c>
      <c r="N18" s="9">
        <f ca="1">H18-SUM(I18:M18)</f>
        <v>0</v>
      </c>
      <c r="O18" s="4" t="str">
        <f ca="1">INDIRECT("'"&amp;$C$3&amp;"'!D44")</f>
        <v>No se identifican los movimientos de datos (Entradas, Salidas, Lecturas, Escrituras); el tamaño queda como aproximación. Medir al menos una muestra representativa.</v>
      </c>
    </row>
    <row r="19" spans="2:15" ht="39.75" customHeight="1">
      <c r="B19" s="1" t="s">
        <v>1224</v>
      </c>
      <c r="C19" s="9" t="str">
        <f ca="1">INDIRECT("'"&amp;$C$3&amp;"'!H45")</f>
        <v>Núcleo</v>
      </c>
      <c r="D19" s="26">
        <f ca="1">INDIRECT("'"&amp;$C$3&amp;"'!E45")</f>
        <v>0.15</v>
      </c>
      <c r="E19" s="18">
        <f ca="1">INDIRECT("'"&amp;$C$3&amp;"'!F45")</f>
        <v>0.58974358974358976</v>
      </c>
      <c r="F19" s="9" t="str">
        <f ca="1">INDIRECT("'"&amp;$C$3&amp;"'!G45")</f>
        <v>N3 - Intermedio</v>
      </c>
      <c r="G19" s="20">
        <f ca="1">INDIRECT("'"&amp;$C$3&amp;"'!I45")</f>
        <v>8.8461538461538453E-2</v>
      </c>
      <c r="H19" s="9">
        <f ca="1">COUNTIF(INDIRECT("'"&amp;$C$3&amp;"'!$B$80:$B$240"),"D4")</f>
        <v>12</v>
      </c>
      <c r="I19" s="9">
        <f ca="1">COUNTIFS(INDIRECT("'"&amp;$C$3&amp;"'!$B$80:$B$240"),"D4",INDIRECT("'"&amp;$C$3&amp;"'!$F$80:$F$240"),0)</f>
        <v>1</v>
      </c>
      <c r="J19" s="9">
        <f ca="1">COUNTIFS(INDIRECT("'"&amp;$C$3&amp;"'!$B$80:$B$240"),"D4",INDIRECT("'"&amp;$C$3&amp;"'!$F$80:$F$240"),1)</f>
        <v>3</v>
      </c>
      <c r="K19" s="9">
        <f ca="1">COUNTIFS(INDIRECT("'"&amp;$C$3&amp;"'!$B$80:$B$240"),"D4",INDIRECT("'"&amp;$C$3&amp;"'!$F$80:$F$240"),2)</f>
        <v>6</v>
      </c>
      <c r="L19" s="9">
        <f ca="1">COUNTIFS(INDIRECT("'"&amp;$C$3&amp;"'!$B$80:$B$240"),"D4",INDIRECT("'"&amp;$C$3&amp;"'!$F$80:$F$240"),3)</f>
        <v>2</v>
      </c>
      <c r="M19" s="9">
        <f ca="1">COUNTIFS(INDIRECT("'"&amp;$C$3&amp;"'!$B$80:$B$240"),"D4",INDIRECT("'"&amp;$C$3&amp;"'!$F$80:$F$240"),"N/A")</f>
        <v>0</v>
      </c>
      <c r="N19" s="9">
        <f ca="1">H19-SUM(I19:M19)</f>
        <v>0</v>
      </c>
      <c r="O19" s="4" t="str">
        <f ca="1">INDIRECT("'"&amp;$C$3&amp;"'!D45")</f>
        <v>Los requisitos de seguridad no están especificados ni clasificados.</v>
      </c>
    </row>
    <row r="20" spans="2:15" ht="39.75" customHeight="1">
      <c r="B20" s="1" t="s">
        <v>1256</v>
      </c>
      <c r="C20" s="9" t="str">
        <f ca="1">INDIRECT("'"&amp;$C$3&amp;"'!H46")</f>
        <v>Núcleo</v>
      </c>
      <c r="D20" s="26">
        <f ca="1">INDIRECT("'"&amp;$C$3&amp;"'!E46")</f>
        <v>0.14000000000000001</v>
      </c>
      <c r="E20" s="18">
        <f ca="1">INDIRECT("'"&amp;$C$3&amp;"'!F46")</f>
        <v>0.51190476190476186</v>
      </c>
      <c r="F20" s="9" t="str">
        <f ca="1">INDIRECT("'"&amp;$C$3&amp;"'!G46")</f>
        <v>N3 - Intermedio</v>
      </c>
      <c r="G20" s="20">
        <f ca="1">INDIRECT("'"&amp;$C$3&amp;"'!I46")</f>
        <v>7.1666666666666656E-2</v>
      </c>
      <c r="H20" s="9">
        <f ca="1">COUNTIF(INDIRECT("'"&amp;$C$3&amp;"'!$B$80:$B$240"),"D5")</f>
        <v>13</v>
      </c>
      <c r="I20" s="9">
        <f ca="1">COUNTIFS(INDIRECT("'"&amp;$C$3&amp;"'!$B$80:$B$240"),"D5",INDIRECT("'"&amp;$C$3&amp;"'!$F$80:$F$240"),0)</f>
        <v>1</v>
      </c>
      <c r="J20" s="9">
        <f ca="1">COUNTIFS(INDIRECT("'"&amp;$C$3&amp;"'!$B$80:$B$240"),"D5",INDIRECT("'"&amp;$C$3&amp;"'!$F$80:$F$240"),1)</f>
        <v>5</v>
      </c>
      <c r="K20" s="9">
        <f ca="1">COUNTIFS(INDIRECT("'"&amp;$C$3&amp;"'!$B$80:$B$240"),"D5",INDIRECT("'"&amp;$C$3&amp;"'!$F$80:$F$240"),2)</f>
        <v>6</v>
      </c>
      <c r="L20" s="9">
        <f ca="1">COUNTIFS(INDIRECT("'"&amp;$C$3&amp;"'!$B$80:$B$240"),"D5",INDIRECT("'"&amp;$C$3&amp;"'!$F$80:$F$240"),3)</f>
        <v>1</v>
      </c>
      <c r="M20" s="9">
        <f ca="1">COUNTIFS(INDIRECT("'"&amp;$C$3&amp;"'!$B$80:$B$240"),"D5",INDIRECT("'"&amp;$C$3&amp;"'!$F$80:$F$240"),"N/A")</f>
        <v>0</v>
      </c>
      <c r="N20" s="9">
        <f ca="1">H20-SUM(I20:M20)</f>
        <v>0</v>
      </c>
      <c r="O20" s="4" t="str">
        <f ca="1">INDIRECT("'"&amp;$C$3&amp;"'!D46")</f>
        <v>No está definido el manejo de errores (reintentos, idempotencia, conciliación).</v>
      </c>
    </row>
    <row r="21" spans="2:15" ht="39.75" customHeight="1">
      <c r="B21" s="3" t="s">
        <v>1257</v>
      </c>
      <c r="C21" s="9" t="str">
        <f ca="1">INDIRECT("'"&amp;$C$3&amp;"'!H47")</f>
        <v>Complementaria</v>
      </c>
      <c r="D21" s="26">
        <f ca="1">INDIRECT("'"&amp;$C$3&amp;"'!E47")</f>
        <v>0.05</v>
      </c>
      <c r="E21" s="18">
        <f ca="1">INDIRECT("'"&amp;$C$3&amp;"'!F47")</f>
        <v>0.47222222222222221</v>
      </c>
      <c r="F21" s="9" t="str">
        <f ca="1">INDIRECT("'"&amp;$C$3&amp;"'!G47")</f>
        <v>N3 - Intermedio</v>
      </c>
      <c r="G21" s="20">
        <f ca="1">INDIRECT("'"&amp;$C$3&amp;"'!I47")</f>
        <v>2.3611111111111104E-2</v>
      </c>
      <c r="H21" s="9">
        <f ca="1">COUNTIF(INDIRECT("'"&amp;$C$3&amp;"'!$B$80:$B$240"),"D6")</f>
        <v>7</v>
      </c>
      <c r="I21" s="9">
        <f ca="1">COUNTIFS(INDIRECT("'"&amp;$C$3&amp;"'!$B$80:$B$240"),"D6",INDIRECT("'"&amp;$C$3&amp;"'!$F$80:$F$240"),0)</f>
        <v>0</v>
      </c>
      <c r="J21" s="9">
        <f ca="1">COUNTIFS(INDIRECT("'"&amp;$C$3&amp;"'!$B$80:$B$240"),"D6",INDIRECT("'"&amp;$C$3&amp;"'!$F$80:$F$240"),1)</f>
        <v>3</v>
      </c>
      <c r="K21" s="9">
        <f ca="1">COUNTIFS(INDIRECT("'"&amp;$C$3&amp;"'!$B$80:$B$240"),"D6",INDIRECT("'"&amp;$C$3&amp;"'!$F$80:$F$240"),2)</f>
        <v>3</v>
      </c>
      <c r="L21" s="9">
        <f ca="1">COUNTIFS(INDIRECT("'"&amp;$C$3&amp;"'!$B$80:$B$240"),"D6",INDIRECT("'"&amp;$C$3&amp;"'!$F$80:$F$240"),3)</f>
        <v>0</v>
      </c>
      <c r="M21" s="9">
        <f ca="1">COUNTIFS(INDIRECT("'"&amp;$C$3&amp;"'!$B$80:$B$240"),"D6",INDIRECT("'"&amp;$C$3&amp;"'!$F$80:$F$240"),"N/A")</f>
        <v>1</v>
      </c>
      <c r="N21" s="9">
        <f ca="1">H21-SUM(I21:M21)</f>
        <v>0</v>
      </c>
      <c r="O21" s="4" t="str">
        <f ca="1">INDIRECT("'"&amp;$C$3&amp;"'!D47")</f>
        <v>El reuso no está clasificado por funcionalidad; el porcentaje reutilizable es una suposición.</v>
      </c>
    </row>
    <row r="22" spans="2:15" ht="39.75" customHeight="1">
      <c r="B22" s="3" t="s">
        <v>1239</v>
      </c>
      <c r="C22" s="9" t="str">
        <f ca="1">INDIRECT("'"&amp;$C$3&amp;"'!H48")</f>
        <v>Complementaria</v>
      </c>
      <c r="D22" s="26">
        <f ca="1">INDIRECT("'"&amp;$C$3&amp;"'!E48")</f>
        <v>0.05</v>
      </c>
      <c r="E22" s="18">
        <f ca="1">INDIRECT("'"&amp;$C$3&amp;"'!F48")</f>
        <v>0.68888888888888888</v>
      </c>
      <c r="F22" s="9" t="str">
        <f ca="1">INDIRECT("'"&amp;$C$3&amp;"'!G48")</f>
        <v>N4 - Definido</v>
      </c>
      <c r="G22" s="20">
        <f ca="1">INDIRECT("'"&amp;$C$3&amp;"'!I48")</f>
        <v>3.4444444444444437E-2</v>
      </c>
      <c r="H22" s="9">
        <f ca="1">COUNTIF(INDIRECT("'"&amp;$C$3&amp;"'!$B$80:$B$240"),"D7")</f>
        <v>7</v>
      </c>
      <c r="I22" s="9">
        <f ca="1">COUNTIFS(INDIRECT("'"&amp;$C$3&amp;"'!$B$80:$B$240"),"D7",INDIRECT("'"&amp;$C$3&amp;"'!$F$80:$F$240"),0)</f>
        <v>0</v>
      </c>
      <c r="J22" s="9">
        <f ca="1">COUNTIFS(INDIRECT("'"&amp;$C$3&amp;"'!$B$80:$B$240"),"D7",INDIRECT("'"&amp;$C$3&amp;"'!$F$80:$F$240"),1)</f>
        <v>2</v>
      </c>
      <c r="K22" s="9">
        <f ca="1">COUNTIFS(INDIRECT("'"&amp;$C$3&amp;"'!$B$80:$B$240"),"D7",INDIRECT("'"&amp;$C$3&amp;"'!$F$80:$F$240"),2)</f>
        <v>3</v>
      </c>
      <c r="L22" s="9">
        <f ca="1">COUNTIFS(INDIRECT("'"&amp;$C$3&amp;"'!$B$80:$B$240"),"D7",INDIRECT("'"&amp;$C$3&amp;"'!$F$80:$F$240"),3)</f>
        <v>2</v>
      </c>
      <c r="M22" s="9">
        <f ca="1">COUNTIFS(INDIRECT("'"&amp;$C$3&amp;"'!$B$80:$B$240"),"D7",INDIRECT("'"&amp;$C$3&amp;"'!$F$80:$F$240"),"N/A")</f>
        <v>0</v>
      </c>
      <c r="N22" s="9">
        <f ca="1">H22-SUM(I22:M22)</f>
        <v>0</v>
      </c>
      <c r="O22" s="4" t="str">
        <f ca="1">INDIRECT("'"&amp;$C$3&amp;"'!D48")</f>
        <v>No se conocen las restricciones tecnológicas del cliente.</v>
      </c>
    </row>
    <row r="23" spans="2:15" ht="39.75" customHeight="1">
      <c r="B23" s="3" t="s">
        <v>1242</v>
      </c>
      <c r="C23" s="9" t="str">
        <f ca="1">INDIRECT("'"&amp;$C$3&amp;"'!H49")</f>
        <v>Complementaria</v>
      </c>
      <c r="D23" s="26">
        <f ca="1">INDIRECT("'"&amp;$C$3&amp;"'!E49")</f>
        <v>7.0000000000000007E-2</v>
      </c>
      <c r="E23" s="18">
        <f ca="1">INDIRECT("'"&amp;$C$3&amp;"'!F49")</f>
        <v>0.56521739130434778</v>
      </c>
      <c r="F23" s="9" t="str">
        <f ca="1">INDIRECT("'"&amp;$C$3&amp;"'!G49")</f>
        <v>N3 - Intermedio</v>
      </c>
      <c r="G23" s="20">
        <f ca="1">INDIRECT("'"&amp;$C$3&amp;"'!I49")</f>
        <v>3.9565217391304343E-2</v>
      </c>
      <c r="H23" s="9">
        <f ca="1">COUNTIF(INDIRECT("'"&amp;$C$3&amp;"'!$B$80:$B$240"),"D8")</f>
        <v>11</v>
      </c>
      <c r="I23" s="9">
        <f ca="1">COUNTIFS(INDIRECT("'"&amp;$C$3&amp;"'!$B$80:$B$240"),"D8",INDIRECT("'"&amp;$C$3&amp;"'!$F$80:$F$240"),0)</f>
        <v>0</v>
      </c>
      <c r="J23" s="9">
        <f ca="1">COUNTIFS(INDIRECT("'"&amp;$C$3&amp;"'!$B$80:$B$240"),"D8",INDIRECT("'"&amp;$C$3&amp;"'!$F$80:$F$240"),1)</f>
        <v>5</v>
      </c>
      <c r="K23" s="9">
        <f ca="1">COUNTIFS(INDIRECT("'"&amp;$C$3&amp;"'!$B$80:$B$240"),"D8",INDIRECT("'"&amp;$C$3&amp;"'!$F$80:$F$240"),2)</f>
        <v>4</v>
      </c>
      <c r="L23" s="9">
        <f ca="1">COUNTIFS(INDIRECT("'"&amp;$C$3&amp;"'!$B$80:$B$240"),"D8",INDIRECT("'"&amp;$C$3&amp;"'!$F$80:$F$240"),3)</f>
        <v>2</v>
      </c>
      <c r="M23" s="9">
        <f ca="1">COUNTIFS(INDIRECT("'"&amp;$C$3&amp;"'!$B$80:$B$240"),"D8",INDIRECT("'"&amp;$C$3&amp;"'!$F$80:$F$240"),"N/A")</f>
        <v>0</v>
      </c>
      <c r="N23" s="9">
        <f ca="1">H23-SUM(I23:M23)</f>
        <v>0</v>
      </c>
      <c r="O23" s="4" t="str">
        <f ca="1">INDIRECT("'"&amp;$C$3&amp;"'!D49")</f>
        <v>No hay criterios de aceptación verificables; sin ellos el alcance de pruebas y la aceptación son inciertos.</v>
      </c>
    </row>
    <row r="24" spans="2:15" ht="39.75" customHeight="1">
      <c r="B24" s="3" t="s">
        <v>1245</v>
      </c>
      <c r="C24" s="9" t="str">
        <f ca="1">INDIRECT("'"&amp;$C$3&amp;"'!H50")</f>
        <v>Complementaria</v>
      </c>
      <c r="D24" s="26">
        <f ca="1">INDIRECT("'"&amp;$C$3&amp;"'!E50")</f>
        <v>0.05</v>
      </c>
      <c r="E24" s="18">
        <f ca="1">INDIRECT("'"&amp;$C$3&amp;"'!F50")</f>
        <v>0.64583333333333337</v>
      </c>
      <c r="F24" s="9" t="str">
        <f ca="1">INDIRECT("'"&amp;$C$3&amp;"'!G50")</f>
        <v>N4 - Definido</v>
      </c>
      <c r="G24" s="20">
        <f ca="1">INDIRECT("'"&amp;$C$3&amp;"'!I50")</f>
        <v>3.2291666666666663E-2</v>
      </c>
      <c r="H24" s="9">
        <f ca="1">COUNTIF(INDIRECT("'"&amp;$C$3&amp;"'!$B$80:$B$240"),"D9")</f>
        <v>8</v>
      </c>
      <c r="I24" s="9">
        <f ca="1">COUNTIFS(INDIRECT("'"&amp;$C$3&amp;"'!$B$80:$B$240"),"D9",INDIRECT("'"&amp;$C$3&amp;"'!$F$80:$F$240"),0)</f>
        <v>0</v>
      </c>
      <c r="J24" s="9">
        <f ca="1">COUNTIFS(INDIRECT("'"&amp;$C$3&amp;"'!$B$80:$B$240"),"D9",INDIRECT("'"&amp;$C$3&amp;"'!$F$80:$F$240"),1)</f>
        <v>2</v>
      </c>
      <c r="K24" s="9">
        <f ca="1">COUNTIFS(INDIRECT("'"&amp;$C$3&amp;"'!$B$80:$B$240"),"D9",INDIRECT("'"&amp;$C$3&amp;"'!$F$80:$F$240"),2)</f>
        <v>4</v>
      </c>
      <c r="L24" s="9">
        <f ca="1">COUNTIFS(INDIRECT("'"&amp;$C$3&amp;"'!$B$80:$B$240"),"D9",INDIRECT("'"&amp;$C$3&amp;"'!$F$80:$F$240"),3)</f>
        <v>2</v>
      </c>
      <c r="M24" s="9">
        <f ca="1">COUNTIFS(INDIRECT("'"&amp;$C$3&amp;"'!$B$80:$B$240"),"D9",INDIRECT("'"&amp;$C$3&amp;"'!$F$80:$F$240"),"N/A")</f>
        <v>0</v>
      </c>
      <c r="N24" s="9">
        <f ca="1">H24-SUM(I24:M24)</f>
        <v>0</v>
      </c>
      <c r="O24" s="4" t="str">
        <f ca="1">INDIRECT("'"&amp;$C$3&amp;"'!D50")</f>
        <v>No se conocen las dependencias externas de ejecución ni sus tiempos.</v>
      </c>
    </row>
    <row r="25" spans="2:15" ht="39.75" customHeight="1">
      <c r="B25" s="3" t="s">
        <v>1258</v>
      </c>
      <c r="C25" s="9" t="str">
        <f ca="1">INDIRECT("'"&amp;$C$3&amp;"'!H51")</f>
        <v>Complementaria</v>
      </c>
      <c r="D25" s="26">
        <f ca="1">INDIRECT("'"&amp;$C$3&amp;"'!E51")</f>
        <v>0.03</v>
      </c>
      <c r="E25" s="18">
        <f ca="1">INDIRECT("'"&amp;$C$3&amp;"'!F51")</f>
        <v>0.60606060606060608</v>
      </c>
      <c r="F25" s="9" t="str">
        <f ca="1">INDIRECT("'"&amp;$C$3&amp;"'!G51")</f>
        <v>N4 - Definido</v>
      </c>
      <c r="G25" s="20">
        <f ca="1">INDIRECT("'"&amp;$C$3&amp;"'!I51")</f>
        <v>1.8181818181818177E-2</v>
      </c>
      <c r="H25" s="9">
        <f ca="1">COUNTIF(INDIRECT("'"&amp;$C$3&amp;"'!$B$80:$B$240"),"D10")</f>
        <v>6</v>
      </c>
      <c r="I25" s="9">
        <f ca="1">COUNTIFS(INDIRECT("'"&amp;$C$3&amp;"'!$B$80:$B$240"),"D10",INDIRECT("'"&amp;$C$3&amp;"'!$F$80:$F$240"),0)</f>
        <v>0</v>
      </c>
      <c r="J25" s="9">
        <f ca="1">COUNTIFS(INDIRECT("'"&amp;$C$3&amp;"'!$B$80:$B$240"),"D10",INDIRECT("'"&amp;$C$3&amp;"'!$F$80:$F$240"),1)</f>
        <v>2</v>
      </c>
      <c r="K25" s="9">
        <f ca="1">COUNTIFS(INDIRECT("'"&amp;$C$3&amp;"'!$B$80:$B$240"),"D10",INDIRECT("'"&amp;$C$3&amp;"'!$F$80:$F$240"),2)</f>
        <v>3</v>
      </c>
      <c r="L25" s="9">
        <f ca="1">COUNTIFS(INDIRECT("'"&amp;$C$3&amp;"'!$B$80:$B$240"),"D10",INDIRECT("'"&amp;$C$3&amp;"'!$F$80:$F$240"),3)</f>
        <v>1</v>
      </c>
      <c r="M25" s="9">
        <f ca="1">COUNTIFS(INDIRECT("'"&amp;$C$3&amp;"'!$B$80:$B$240"),"D10",INDIRECT("'"&amp;$C$3&amp;"'!$F$80:$F$240"),"N/A")</f>
        <v>0</v>
      </c>
      <c r="N25" s="9">
        <f ca="1">H25-SUM(I25:M25)</f>
        <v>0</v>
      </c>
      <c r="O25" s="4" t="str">
        <f ca="1">INDIRECT("'"&amp;$C$3&amp;"'!D51")</f>
        <v>No se conocen los stakeholders ni el ciclo de aprobaciones.</v>
      </c>
    </row>
    <row r="26" spans="2:15" ht="39.75" customHeight="1">
      <c r="B26" s="3" t="s">
        <v>1259</v>
      </c>
      <c r="C26" s="9" t="str">
        <f ca="1">INDIRECT("'"&amp;$C$3&amp;"'!H52")</f>
        <v>Complementaria</v>
      </c>
      <c r="D26" s="26">
        <f ca="1">INDIRECT("'"&amp;$C$3&amp;"'!E52")</f>
        <v>0.05</v>
      </c>
      <c r="E26" s="18">
        <f ca="1">INDIRECT("'"&amp;$C$3&amp;"'!F52")</f>
        <v>0.39583333333333331</v>
      </c>
      <c r="F26" s="9" t="str">
        <f ca="1">INDIRECT("'"&amp;$C$3&amp;"'!G52")</f>
        <v>N2 - Preliminar</v>
      </c>
      <c r="G26" s="20">
        <f ca="1">INDIRECT("'"&amp;$C$3&amp;"'!I52")</f>
        <v>1.9791666666666662E-2</v>
      </c>
      <c r="H26" s="9">
        <f ca="1">COUNTIF(INDIRECT("'"&amp;$C$3&amp;"'!$B$80:$B$240"),"D11")</f>
        <v>7</v>
      </c>
      <c r="I26" s="9">
        <f ca="1">COUNTIFS(INDIRECT("'"&amp;$C$3&amp;"'!$B$80:$B$240"),"D11",INDIRECT("'"&amp;$C$3&amp;"'!$F$80:$F$240"),0)</f>
        <v>1</v>
      </c>
      <c r="J26" s="9">
        <f ca="1">COUNTIFS(INDIRECT("'"&amp;$C$3&amp;"'!$B$80:$B$240"),"D11",INDIRECT("'"&amp;$C$3&amp;"'!$F$80:$F$240"),1)</f>
        <v>4</v>
      </c>
      <c r="K26" s="9">
        <f ca="1">COUNTIFS(INDIRECT("'"&amp;$C$3&amp;"'!$B$80:$B$240"),"D11",INDIRECT("'"&amp;$C$3&amp;"'!$F$80:$F$240"),2)</f>
        <v>1</v>
      </c>
      <c r="L26" s="9">
        <f ca="1">COUNTIFS(INDIRECT("'"&amp;$C$3&amp;"'!$B$80:$B$240"),"D11",INDIRECT("'"&amp;$C$3&amp;"'!$F$80:$F$240"),3)</f>
        <v>1</v>
      </c>
      <c r="M26" s="9">
        <f ca="1">COUNTIFS(INDIRECT("'"&amp;$C$3&amp;"'!$B$80:$B$240"),"D11",INDIRECT("'"&amp;$C$3&amp;"'!$F$80:$F$240"),"N/A")</f>
        <v>0</v>
      </c>
      <c r="N26" s="9">
        <f ca="1">H26-SUM(I26:M26)</f>
        <v>0</v>
      </c>
      <c r="O26" s="4" t="str">
        <f ca="1">INDIRECT("'"&amp;$C$3&amp;"'!D52")</f>
        <v>El tamaño de los comparables no está normalizado.</v>
      </c>
    </row>
    <row r="27" spans="2:15">
      <c r="B27" s="1" t="s">
        <v>1260</v>
      </c>
      <c r="D27" s="27">
        <f ca="1">SUM(D16:D26)</f>
        <v>1.0000000000000002</v>
      </c>
      <c r="E27" s="18">
        <f ca="1">INDIRECT("'"&amp;$C$3&amp;"'!F53")</f>
        <v>0.56716232968371816</v>
      </c>
      <c r="F27" s="12" t="str">
        <f ca="1">INDIRECT("'"&amp;$C$3&amp;"'!G55")</f>
        <v>N3 - Intermedio</v>
      </c>
      <c r="G27" s="18">
        <f ca="1">SUM(G16:G26)</f>
        <v>0.56716232968371816</v>
      </c>
      <c r="H27" s="12">
        <f ca="1">SUM(H16:H26)</f>
        <v>109</v>
      </c>
      <c r="I27" s="12">
        <f ca="1">SUM(I16:I26)</f>
        <v>4</v>
      </c>
      <c r="J27" s="12">
        <f ca="1">SUM(J16:J26)</f>
        <v>39</v>
      </c>
      <c r="K27" s="12">
        <f ca="1">SUM(K16:K26)</f>
        <v>48</v>
      </c>
      <c r="L27" s="12">
        <f ca="1">SUM(L16:L26)</f>
        <v>16</v>
      </c>
      <c r="M27" s="12">
        <f ca="1">SUM(M16:M26)</f>
        <v>2</v>
      </c>
      <c r="N27" s="12">
        <f ca="1">SUM(N16:N26)</f>
        <v>0</v>
      </c>
      <c r="O27" s="4" t="str">
        <f ca="1">INDIRECT("'"&amp;$C$3&amp;"'!G54")</f>
        <v>No aplica tope</v>
      </c>
    </row>
    <row r="48" spans="2:15">
      <c r="B48" s="50" t="s">
        <v>1545</v>
      </c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</row>
    <row r="49" spans="2:15">
      <c r="B49" s="3" t="s">
        <v>1546</v>
      </c>
      <c r="C49" s="49" t="str">
        <f ca="1">IF(INDIRECT("'"&amp;$C$3&amp;"'!G14")="","",INDIRECT("'"&amp;$C$3&amp;"'!G14"))</f>
        <v>Nuevo desarrollo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</row>
    <row r="50" spans="2:15">
      <c r="B50" s="3" t="s">
        <v>1547</v>
      </c>
      <c r="C50" s="49" t="str">
        <f ca="1">IF(INDIRECT("'"&amp;$C$3&amp;"'!G15")="","",INDIRECT("'"&amp;$C$3&amp;"'!G15"))</f>
        <v>Composición suma 100%</v>
      </c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2:15">
      <c r="B51" s="3" t="s">
        <v>1548</v>
      </c>
      <c r="C51" s="49" t="str">
        <f ca="1">IF(INDIRECT("'"&amp;$C$3&amp;"'!G18")="","",INDIRECT("'"&amp;$C$3&amp;"'!G18"))</f>
        <v>Aplicaciones y soluciones digitales</v>
      </c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</row>
    <row r="52" spans="2:15">
      <c r="B52" s="3" t="s">
        <v>1549</v>
      </c>
      <c r="C52" s="49" t="str">
        <f ca="1">IF(INDIRECT("'"&amp;$C$3&amp;"'!E19")="","",INDIRECT("'"&amp;$C$3&amp;"'!E19"))</f>
        <v>Seguridad, identidad y confianza digital; Integración e interoperabilidad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</row>
    <row r="53" spans="2:15">
      <c r="B53" s="3" t="s">
        <v>1550</v>
      </c>
      <c r="C53" s="49" t="str">
        <f ca="1">IF(INDIRECT("'"&amp;$C$3&amp;"'!G20")="","",INDIRECT("'"&amp;$C$3&amp;"'!G20"))</f>
        <v>Predominio claro</v>
      </c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2:15">
      <c r="B54" s="3" t="s">
        <v>1551</v>
      </c>
      <c r="C54" s="49" t="str">
        <f ca="1">IF(INDIRECT("'"&amp;$C$3&amp;"'!G21")="","",INDIRECT("'"&amp;$C$3&amp;"'!G21"))</f>
        <v>Clase L</v>
      </c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2:15">
      <c r="B55" s="3" t="s">
        <v>1552</v>
      </c>
      <c r="C55" s="49" t="str">
        <f ca="1">IF(INDIRECT("'"&amp;$C$3&amp;"'!G22")="","",INDIRECT("'"&amp;$C$3&amp;"'!G22"))</f>
        <v>≈ 272 PF (aproximación)</v>
      </c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2:15">
      <c r="B56" s="3" t="s">
        <v>1553</v>
      </c>
      <c r="C56" s="49" t="str">
        <f ca="1">IF(INDIRECT("'"&amp;$C$3&amp;"'!G23")="","",INDIRECT("'"&amp;$C$3&amp;"'!G23"))</f>
        <v>Sin medición detallada</v>
      </c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7" spans="2:15">
      <c r="B57" s="3" t="s">
        <v>1554</v>
      </c>
      <c r="C57" s="49" t="str">
        <f ca="1">IF(INDIRECT("'"&amp;$C$3&amp;"'!G24")="","",INDIRECT("'"&amp;$C$3&amp;"'!G24"))</f>
        <v>Puntaje 7 / 10</v>
      </c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2:15">
      <c r="B58" s="3" t="s">
        <v>1555</v>
      </c>
      <c r="C58" s="49" t="str">
        <f ca="1">IF(INDIRECT("'"&amp;$C$3&amp;"'!G25")="","",INDIRECT("'"&amp;$C$3&amp;"'!G25"))</f>
        <v>Complejidad Alta</v>
      </c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</row>
    <row r="59" spans="2:15">
      <c r="B59" s="3" t="s">
        <v>1556</v>
      </c>
      <c r="C59" s="49" t="str">
        <f ca="1">IF(INDIRECT("'"&amp;$C$3&amp;"'!G29")="","",INDIRECT("'"&amp;$C$3&amp;"'!G29"))</f>
        <v>I2 - Media</v>
      </c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</row>
    <row r="60" spans="2:15">
      <c r="B60" s="3" t="s">
        <v>1557</v>
      </c>
      <c r="C60" s="49" t="str">
        <f ca="1">IF(INDIRECT("'"&amp;$C$3&amp;"'!G32")="","",INDIRECT("'"&amp;$C$3&amp;"'!G32"))</f>
        <v>R3 - Baja</v>
      </c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2:15">
      <c r="B61" s="3" t="s">
        <v>1239</v>
      </c>
      <c r="C61" s="49" t="str">
        <f ca="1">IF(INDIRECT("'"&amp;$C$3&amp;"'!G33")="","",INDIRECT("'"&amp;$C$3&amp;"'!G33"))</f>
        <v>T2 - Parcialmente conocida</v>
      </c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</row>
    <row r="62" spans="2:15">
      <c r="B62" s="3" t="s">
        <v>1558</v>
      </c>
      <c r="C62" s="49" t="str">
        <f ca="1">IF(INDIRECT("'"&amp;$C$3&amp;"'!G34")="","",INDIRECT("'"&amp;$C$3&amp;"'!G34"))</f>
        <v>M3 - Definido</v>
      </c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</row>
    <row r="63" spans="2:15">
      <c r="B63" s="3" t="s">
        <v>1245</v>
      </c>
      <c r="C63" s="49" t="str">
        <f ca="1">IF(INDIRECT("'"&amp;$C$3&amp;"'!G35")="","",INDIRECT("'"&amp;$C$3&amp;"'!G35"))</f>
        <v>Parcialmente conocido</v>
      </c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</row>
    <row r="64" spans="2:15">
      <c r="B64" s="3" t="s">
        <v>1247</v>
      </c>
      <c r="C64" s="49" t="str">
        <f ca="1">IF(INDIRECT("'"&amp;$C$3&amp;"'!G36")="","",INDIRECT("'"&amp;$C$3&amp;"'!G36"))</f>
        <v>Gobierno</v>
      </c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</row>
    <row r="65" spans="2:16">
      <c r="B65" s="3" t="s">
        <v>1249</v>
      </c>
      <c r="C65" s="49" t="str">
        <f ca="1">IF(INDIRECT("'"&amp;$C$3&amp;"'!G37")="","",INDIRECT("'"&amp;$C$3&amp;"'!G37"))</f>
        <v>E2 - Baja</v>
      </c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</row>
    <row r="68" spans="2:16">
      <c r="B68" s="50" t="s">
        <v>1559</v>
      </c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</row>
    <row r="69" spans="2:16" ht="15" customHeight="1">
      <c r="B69" s="5" t="s">
        <v>131</v>
      </c>
      <c r="C69" s="5" t="s">
        <v>129</v>
      </c>
      <c r="D69" s="5" t="s">
        <v>1131</v>
      </c>
      <c r="E69" s="34" t="s">
        <v>130</v>
      </c>
      <c r="F69" s="34"/>
      <c r="G69" s="34"/>
      <c r="H69" s="34"/>
      <c r="I69" s="34"/>
      <c r="J69" s="34"/>
      <c r="K69" s="34"/>
      <c r="L69" s="34"/>
      <c r="M69" s="34"/>
      <c r="N69" s="34"/>
      <c r="O69" s="5" t="s">
        <v>1560</v>
      </c>
      <c r="P69" s="5" t="s">
        <v>1561</v>
      </c>
    </row>
    <row r="70" spans="2:16" ht="42" customHeight="1">
      <c r="B70" s="4" t="str">
        <f ca="1">IF(C70="","",INDEX(Rubricas!$F$4:$F$112,MATCH(C70,Rubricas!$A$4:$A$112,0)))</f>
        <v>Movimientos de datos por proceso</v>
      </c>
      <c r="C70" s="12" t="str">
        <f ca="1">IF(P70=0,"",INDEX(INDIRECT("'"&amp;$C$3&amp;"'!$A$80:$A$240"),MATCH(P70,INDIRECT("'"&amp;$C$3&amp;"'!$K$80:$K$240"),0)))</f>
        <v>D3.07</v>
      </c>
      <c r="D70" s="9">
        <f ca="1">IF(C70="","",IF(INDEX(INDIRECT("'"&amp;$C$3&amp;"'!$F$80:$F$240"),MATCH(P70,INDIRECT("'"&amp;$C$3&amp;"'!$K$80:$K$240"),0))="","Sin evaluar",INDEX(INDIRECT("'"&amp;$C$3&amp;"'!$F$80:$F$240"),MATCH(P70,INDIRECT("'"&amp;$C$3&amp;"'!$K$80:$K$240"),0))))</f>
        <v>1</v>
      </c>
      <c r="E70" s="49" t="str">
        <f ca="1">IF(C70="","",INDEX(INDIRECT("'"&amp;$C$3&amp;"'!$C$80:$C$240"),MATCH(P70,INDIRECT("'"&amp;$C$3&amp;"'!$K$80:$K$240"),0)))</f>
        <v>Movimientos de datos</v>
      </c>
      <c r="F70" s="49"/>
      <c r="G70" s="49"/>
      <c r="H70" s="49"/>
      <c r="I70" s="49"/>
      <c r="J70" s="49"/>
      <c r="K70" s="49"/>
      <c r="L70" s="49"/>
      <c r="M70" s="49"/>
      <c r="N70" s="49"/>
      <c r="O70" s="4" t="str">
        <f ca="1">IF(C70="","",INDEX(INDIRECT("'"&amp;$C$3&amp;"'!$J$80:$J$240"),MATCH(P70,INDIRECT("'"&amp;$C$3&amp;"'!$K$80:$K$240"),0)))</f>
        <v>No se identifican los movimientos de datos (Entradas, Salidas, Lecturas, Escrituras); el tamaño queda como aproximación. Medir al menos una muestra representativa.</v>
      </c>
      <c r="P70" s="23">
        <f ca="1">LARGE(INDIRECT("'"&amp;$C$3&amp;"'!$K$80:$K$240"),1)</f>
        <v>108.00113</v>
      </c>
    </row>
    <row r="71" spans="2:16" ht="42" customHeight="1">
      <c r="B71" s="4" t="str">
        <f ca="1">IF(C71="","",INDEX(Rubricas!$F$4:$F$112,MATCH(C71,Rubricas!$A$4:$A$112,0)))</f>
        <v>Requisitos de seguridad clasificados</v>
      </c>
      <c r="C71" s="12" t="str">
        <f ca="1">IF(P71=0,"",INDEX(INDIRECT("'"&amp;$C$3&amp;"'!$A$80:$A$240"),MATCH(P71,INDIRECT("'"&amp;$C$3&amp;"'!$K$80:$K$240"),0)))</f>
        <v>D4.06</v>
      </c>
      <c r="D71" s="9">
        <f ca="1">IF(C71="","",IF(INDEX(INDIRECT("'"&amp;$C$3&amp;"'!$F$80:$F$240"),MATCH(P71,INDIRECT("'"&amp;$C$3&amp;"'!$K$80:$K$240"),0))="","Sin evaluar",INDEX(INDIRECT("'"&amp;$C$3&amp;"'!$F$80:$F$240"),MATCH(P71,INDIRECT("'"&amp;$C$3&amp;"'!$K$80:$K$240"),0))))</f>
        <v>1</v>
      </c>
      <c r="E71" s="49" t="str">
        <f ca="1">IF(C71="","",INDEX(INDIRECT("'"&amp;$C$3&amp;"'!$C$80:$C$240"),MATCH(P71,INDIRECT("'"&amp;$C$3&amp;"'!$K$80:$K$240"),0)))</f>
        <v>Seguridad</v>
      </c>
      <c r="F71" s="49"/>
      <c r="G71" s="49"/>
      <c r="H71" s="49"/>
      <c r="I71" s="49"/>
      <c r="J71" s="49"/>
      <c r="K71" s="49"/>
      <c r="L71" s="49"/>
      <c r="M71" s="49"/>
      <c r="N71" s="49"/>
      <c r="O71" s="4" t="str">
        <f ca="1">IF(C71="","",INDEX(INDIRECT("'"&amp;$C$3&amp;"'!$J$80:$J$240"),MATCH(P71,INDIRECT("'"&amp;$C$3&amp;"'!$K$80:$K$240"),0)))</f>
        <v>Los requisitos de seguridad no están especificados ni clasificados.</v>
      </c>
      <c r="P71" s="23">
        <f ca="1">LARGE(INDIRECT("'"&amp;$C$3&amp;"'!$K$80:$K$240"),2)</f>
        <v>90.001269999999991</v>
      </c>
    </row>
    <row r="72" spans="2:16" ht="42" customHeight="1">
      <c r="B72" s="4" t="str">
        <f ca="1">IF(C72="","",INDEX(Rubricas!$F$4:$F$112,MATCH(C72,Rubricas!$A$4:$A$112,0)))</f>
        <v>Caracterización de reglas</v>
      </c>
      <c r="C72" s="12" t="str">
        <f ca="1">IF(P72=0,"",INDEX(INDIRECT("'"&amp;$C$3&amp;"'!$A$80:$A$240"),MATCH(P72,INDIRECT("'"&amp;$C$3&amp;"'!$K$80:$K$240"),0)))</f>
        <v>D4.02</v>
      </c>
      <c r="D72" s="9">
        <f ca="1">IF(C72="","",IF(INDEX(INDIRECT("'"&amp;$C$3&amp;"'!$F$80:$F$240"),MATCH(P72,INDIRECT("'"&amp;$C$3&amp;"'!$K$80:$K$240"),0))="","Sin evaluar",INDEX(INDIRECT("'"&amp;$C$3&amp;"'!$F$80:$F$240"),MATCH(P72,INDIRECT("'"&amp;$C$3&amp;"'!$K$80:$K$240"),0))))</f>
        <v>1</v>
      </c>
      <c r="E72" s="49" t="str">
        <f ca="1">IF(C72="","",INDEX(INDIRECT("'"&amp;$C$3&amp;"'!$C$80:$C$240"),MATCH(P72,INDIRECT("'"&amp;$C$3&amp;"'!$K$80:$K$240"),0)))</f>
        <v>Reglas de negocio</v>
      </c>
      <c r="F72" s="49"/>
      <c r="G72" s="49"/>
      <c r="H72" s="49"/>
      <c r="I72" s="49"/>
      <c r="J72" s="49"/>
      <c r="K72" s="49"/>
      <c r="L72" s="49"/>
      <c r="M72" s="49"/>
      <c r="N72" s="49"/>
      <c r="O72" s="4" t="str">
        <f ca="1">IF(C72="","",INDEX(INDIRECT("'"&amp;$C$3&amp;"'!$J$80:$J$240"),MATCH(P72,INDIRECT("'"&amp;$C$3&amp;"'!$K$80:$K$240"),0)))</f>
        <v>Las reglas no están caracterizadas (faltan excepciones o cálculos); la calificación de complejidad no es confiable.</v>
      </c>
      <c r="P72" s="23">
        <f ca="1">LARGE(INDIRECT("'"&amp;$C$3&amp;"'!$K$80:$K$240"),3)</f>
        <v>90.001229999999993</v>
      </c>
    </row>
    <row r="73" spans="2:16" ht="42" customHeight="1">
      <c r="B73" s="4" t="str">
        <f ca="1">IF(C73="","",INDEX(Rubricas!$F$4:$F$112,MATCH(C73,Rubricas!$A$4:$A$112,0)))</f>
        <v>Manejo de errores y recuperación</v>
      </c>
      <c r="C73" s="12" t="str">
        <f ca="1">IF(P73=0,"",INDEX(INDIRECT("'"&amp;$C$3&amp;"'!$A$80:$A$240"),MATCH(P73,INDIRECT("'"&amp;$C$3&amp;"'!$K$80:$K$240"),0)))</f>
        <v>D5.07</v>
      </c>
      <c r="D73" s="9">
        <f ca="1">IF(C73="","",IF(INDEX(INDIRECT("'"&amp;$C$3&amp;"'!$F$80:$F$240"),MATCH(P73,INDIRECT("'"&amp;$C$3&amp;"'!$K$80:$K$240"),0))="","Sin evaluar",INDEX(INDIRECT("'"&amp;$C$3&amp;"'!$F$80:$F$240"),MATCH(P73,INDIRECT("'"&amp;$C$3&amp;"'!$K$80:$K$240"),0))))</f>
        <v>0</v>
      </c>
      <c r="E73" s="49" t="str">
        <f ca="1">IF(C73="","",INDEX(INDIRECT("'"&amp;$C$3&amp;"'!$C$80:$C$240"),MATCH(P73,INDIRECT("'"&amp;$C$3&amp;"'!$K$80:$K$240"),0)))</f>
        <v>Comportamiento y errores</v>
      </c>
      <c r="F73" s="49"/>
      <c r="G73" s="49"/>
      <c r="H73" s="49"/>
      <c r="I73" s="49"/>
      <c r="J73" s="49"/>
      <c r="K73" s="49"/>
      <c r="L73" s="49"/>
      <c r="M73" s="49"/>
      <c r="N73" s="49"/>
      <c r="O73" s="4" t="str">
        <f ca="1">IF(C73="","",INDEX(INDIRECT("'"&amp;$C$3&amp;"'!$J$80:$J$240"),MATCH(P73,INDIRECT("'"&amp;$C$3&amp;"'!$K$80:$K$240"),0)))</f>
        <v>No está definido el manejo de errores (reintentos, idempotencia, conciliación).</v>
      </c>
      <c r="P73" s="23">
        <f ca="1">LARGE(INDIRECT("'"&amp;$C$3&amp;"'!$K$80:$K$240"),4)</f>
        <v>84.001410000000021</v>
      </c>
    </row>
    <row r="74" spans="2:16" ht="42" customHeight="1">
      <c r="B74" s="4" t="str">
        <f ca="1">IF(C74="","",INDEX(Rubricas!$F$4:$F$112,MATCH(C74,Rubricas!$A$4:$A$112,0)))</f>
        <v>Intercambios mapeados a datos y procesos</v>
      </c>
      <c r="C74" s="12" t="str">
        <f ca="1">IF(P74=0,"",INDEX(INDIRECT("'"&amp;$C$3&amp;"'!$A$80:$A$240"),MATCH(P74,INDIRECT("'"&amp;$C$3&amp;"'!$K$80:$K$240"),0)))</f>
        <v>D5.02</v>
      </c>
      <c r="D74" s="9">
        <f ca="1">IF(C74="","",IF(INDEX(INDIRECT("'"&amp;$C$3&amp;"'!$F$80:$F$240"),MATCH(P74,INDIRECT("'"&amp;$C$3&amp;"'!$K$80:$K$240"),0))="","Sin evaluar",INDEX(INDIRECT("'"&amp;$C$3&amp;"'!$F$80:$F$240"),MATCH(P74,INDIRECT("'"&amp;$C$3&amp;"'!$K$80:$K$240"),0))))</f>
        <v>1</v>
      </c>
      <c r="E74" s="49" t="str">
        <f ca="1">IF(C74="","",INDEX(INDIRECT("'"&amp;$C$3&amp;"'!$C$80:$C$240"),MATCH(P74,INDIRECT("'"&amp;$C$3&amp;"'!$K$80:$K$240"),0)))</f>
        <v>Inventario de interfaces</v>
      </c>
      <c r="F74" s="49"/>
      <c r="G74" s="49"/>
      <c r="H74" s="49"/>
      <c r="I74" s="49"/>
      <c r="J74" s="49"/>
      <c r="K74" s="49"/>
      <c r="L74" s="49"/>
      <c r="M74" s="49"/>
      <c r="N74" s="49"/>
      <c r="O74" s="4" t="str">
        <f ca="1">IF(C74="","",INDEX(INDIRECT("'"&amp;$C$3&amp;"'!$J$80:$J$240"),MATCH(P74,INDIRECT("'"&amp;$C$3&amp;"'!$K$80:$K$240"),0)))</f>
        <v>Las interfaces no están asociadas a procesos ni a los datos intercambiados; el tamaño de la integración queda sin sustento.</v>
      </c>
      <c r="P74" s="23">
        <f ca="1">LARGE(INDIRECT("'"&amp;$C$3&amp;"'!$K$80:$K$240"),5)</f>
        <v>84.00136000000002</v>
      </c>
    </row>
    <row r="75" spans="2:16" ht="42" customHeight="1">
      <c r="B75" s="4" t="str">
        <f ca="1">IF(C75="","",INDEX(Rubricas!$F$4:$F$112,MATCH(C75,Rubricas!$A$4:$A$112,0)))</f>
        <v>Trazabilidad requisito – medición</v>
      </c>
      <c r="C75" s="12" t="str">
        <f ca="1">IF(P75=0,"",INDEX(INDIRECT("'"&amp;$C$3&amp;"'!$A$80:$A$240"),MATCH(P75,INDIRECT("'"&amp;$C$3&amp;"'!$K$80:$K$240"),0)))</f>
        <v>D3.13</v>
      </c>
      <c r="D75" s="9">
        <f ca="1">IF(C75="","",IF(INDEX(INDIRECT("'"&amp;$C$3&amp;"'!$F$80:$F$240"),MATCH(P75,INDIRECT("'"&amp;$C$3&amp;"'!$K$80:$K$240"),0))="","Sin evaluar",INDEX(INDIRECT("'"&amp;$C$3&amp;"'!$F$80:$F$240"),MATCH(P75,INDIRECT("'"&amp;$C$3&amp;"'!$K$80:$K$240"),0))))</f>
        <v>1</v>
      </c>
      <c r="E75" s="49" t="str">
        <f ca="1">IF(C75="","",INDEX(INDIRECT("'"&amp;$C$3&amp;"'!$C$80:$C$240"),MATCH(P75,INDIRECT("'"&amp;$C$3&amp;"'!$K$80:$K$240"),0)))</f>
        <v>Consolidación del tamaño</v>
      </c>
      <c r="F75" s="49"/>
      <c r="G75" s="49"/>
      <c r="H75" s="49"/>
      <c r="I75" s="49"/>
      <c r="J75" s="49"/>
      <c r="K75" s="49"/>
      <c r="L75" s="49"/>
      <c r="M75" s="49"/>
      <c r="N75" s="49"/>
      <c r="O75" s="4" t="str">
        <f ca="1">IF(C75="","",INDEX(INDIRECT("'"&amp;$C$3&amp;"'!$J$80:$J$240"),MATCH(P75,INDIRECT("'"&amp;$C$3&amp;"'!$K$80:$K$240"),0)))</f>
        <v>No hay trazabilidad requisito–proceso–tamaño; dificulta auditar la medición y gestionar cambios de alcance.</v>
      </c>
      <c r="P75" s="23">
        <f ca="1">LARGE(INDIRECT("'"&amp;$C$3&amp;"'!$K$80:$K$240"),6)</f>
        <v>72.001189999999994</v>
      </c>
    </row>
    <row r="76" spans="2:16" ht="42" customHeight="1">
      <c r="B76" s="4" t="str">
        <f ca="1">IF(C76="","",INDEX(Rubricas!$F$4:$F$112,MATCH(C76,Rubricas!$A$4:$A$112,0)))</f>
        <v>RNF que se convierten en funcionalidad</v>
      </c>
      <c r="C76" s="12" t="str">
        <f ca="1">IF(P76=0,"",INDEX(INDIRECT("'"&amp;$C$3&amp;"'!$A$80:$A$240"),MATCH(P76,INDIRECT("'"&amp;$C$3&amp;"'!$K$80:$K$240"),0)))</f>
        <v>D3.10</v>
      </c>
      <c r="D76" s="9">
        <f ca="1">IF(C76="","",IF(INDEX(INDIRECT("'"&amp;$C$3&amp;"'!$F$80:$F$240"),MATCH(P76,INDIRECT("'"&amp;$C$3&amp;"'!$K$80:$K$240"),0))="","Sin evaluar",INDEX(INDIRECT("'"&amp;$C$3&amp;"'!$F$80:$F$240"),MATCH(P76,INDIRECT("'"&amp;$C$3&amp;"'!$K$80:$K$240"),0))))</f>
        <v>1</v>
      </c>
      <c r="E76" s="49" t="str">
        <f ca="1">IF(C76="","",INDEX(INDIRECT("'"&amp;$C$3&amp;"'!$C$80:$C$240"),MATCH(P76,INDIRECT("'"&amp;$C$3&amp;"'!$K$80:$K$240"),0)))</f>
        <v>Requisitos no funcionales</v>
      </c>
      <c r="F76" s="49"/>
      <c r="G76" s="49"/>
      <c r="H76" s="49"/>
      <c r="I76" s="49"/>
      <c r="J76" s="49"/>
      <c r="K76" s="49"/>
      <c r="L76" s="49"/>
      <c r="M76" s="49"/>
      <c r="N76" s="49"/>
      <c r="O76" s="4" t="str">
        <f ca="1">IF(C76="","",INDEX(INDIRECT("'"&amp;$C$3&amp;"'!$J$80:$J$240"),MATCH(P76,INDIRECT("'"&amp;$C$3&amp;"'!$K$80:$K$240"),0)))</f>
        <v>Requisitos como auditoría, notificaciones o gestión de permisos no se trasladaron al tamaño funcional; suelen omitirse y generar subestimación.</v>
      </c>
      <c r="P76" s="23">
        <f ca="1">LARGE(INDIRECT("'"&amp;$C$3&amp;"'!$K$80:$K$240"),7)</f>
        <v>72.001159999999999</v>
      </c>
    </row>
    <row r="77" spans="2:16" ht="42" customHeight="1">
      <c r="B77" s="4" t="str">
        <f ca="1">IF(C77="","",INDEX(Rubricas!$F$4:$F$112,MATCH(C77,Rubricas!$A$4:$A$112,0)))</f>
        <v>Tamaño del cambio en evolutivos</v>
      </c>
      <c r="C77" s="12" t="str">
        <f ca="1">IF(P77=0,"",INDEX(INDIRECT("'"&amp;$C$3&amp;"'!$A$80:$A$240"),MATCH(P77,INDIRECT("'"&amp;$C$3&amp;"'!$K$80:$K$240"),0)))</f>
        <v>D3.09</v>
      </c>
      <c r="D77" s="9">
        <f ca="1">IF(C77="","",IF(INDEX(INDIRECT("'"&amp;$C$3&amp;"'!$F$80:$F$240"),MATCH(P77,INDIRECT("'"&amp;$C$3&amp;"'!$K$80:$K$240"),0))="","Sin evaluar",INDEX(INDIRECT("'"&amp;$C$3&amp;"'!$F$80:$F$240"),MATCH(P77,INDIRECT("'"&amp;$C$3&amp;"'!$K$80:$K$240"),0))))</f>
        <v>1</v>
      </c>
      <c r="E77" s="49" t="str">
        <f ca="1">IF(C77="","",INDEX(INDIRECT("'"&amp;$C$3&amp;"'!$C$80:$C$240"),MATCH(P77,INDIRECT("'"&amp;$C$3&amp;"'!$K$80:$K$240"),0)))</f>
        <v>Consolidación del tamaño</v>
      </c>
      <c r="F77" s="49"/>
      <c r="G77" s="49"/>
      <c r="H77" s="49"/>
      <c r="I77" s="49"/>
      <c r="J77" s="49"/>
      <c r="K77" s="49"/>
      <c r="L77" s="49"/>
      <c r="M77" s="49"/>
      <c r="N77" s="49"/>
      <c r="O77" s="4" t="str">
        <f ca="1">IF(C77="","",INDEX(INDIRECT("'"&amp;$C$3&amp;"'!$J$80:$J$240"),MATCH(P77,INDIRECT("'"&amp;$C$3&amp;"'!$K$80:$K$240"),0)))</f>
        <v>El tamaño del cambio no está desagregado en agregados, modificados y eliminados.</v>
      </c>
      <c r="P77" s="23">
        <f ca="1">LARGE(INDIRECT("'"&amp;$C$3&amp;"'!$K$80:$K$240"),8)</f>
        <v>72.001149999999996</v>
      </c>
    </row>
    <row r="78" spans="2:16" ht="42" customHeight="1">
      <c r="B78" s="4" t="str">
        <f ca="1">IF(C78="","",INDEX(Rubricas!$F$4:$F$112,MATCH(C78,Rubricas!$A$4:$A$112,0)))</f>
        <v>Eventos desencadenantes</v>
      </c>
      <c r="C78" s="12" t="str">
        <f ca="1">IF(P78=0,"",INDEX(INDIRECT("'"&amp;$C$3&amp;"'!$A$80:$A$240"),MATCH(P78,INDIRECT("'"&amp;$C$3&amp;"'!$K$80:$K$240"),0)))</f>
        <v>D3.04</v>
      </c>
      <c r="D78" s="9">
        <f ca="1">IF(C78="","",IF(INDEX(INDIRECT("'"&amp;$C$3&amp;"'!$F$80:$F$240"),MATCH(P78,INDIRECT("'"&amp;$C$3&amp;"'!$K$80:$K$240"),0))="","Sin evaluar",INDEX(INDIRECT("'"&amp;$C$3&amp;"'!$F$80:$F$240"),MATCH(P78,INDIRECT("'"&amp;$C$3&amp;"'!$K$80:$K$240"),0))))</f>
        <v>1</v>
      </c>
      <c r="E78" s="49" t="str">
        <f ca="1">IF(C78="","",INDEX(INDIRECT("'"&amp;$C$3&amp;"'!$C$80:$C$240"),MATCH(P78,INDIRECT("'"&amp;$C$3&amp;"'!$K$80:$K$240"),0)))</f>
        <v>Procesos funcionales</v>
      </c>
      <c r="F78" s="49"/>
      <c r="G78" s="49"/>
      <c r="H78" s="49"/>
      <c r="I78" s="49"/>
      <c r="J78" s="49"/>
      <c r="K78" s="49"/>
      <c r="L78" s="49"/>
      <c r="M78" s="49"/>
      <c r="N78" s="49"/>
      <c r="O78" s="4" t="str">
        <f ca="1">IF(C78="","",INDEX(INDIRECT("'"&amp;$C$3&amp;"'!$J$80:$J$240"),MATCH(P78,INDIRECT("'"&amp;$C$3&amp;"'!$K$80:$K$240"),0)))</f>
        <v>No se identifican los eventos desencadenantes; es la base para delimitar correctamente cada proceso funcional.</v>
      </c>
      <c r="P78" s="23">
        <f ca="1">LARGE(INDIRECT("'"&amp;$C$3&amp;"'!$K$80:$K$240"),9)</f>
        <v>72.001099999999994</v>
      </c>
    </row>
    <row r="79" spans="2:16" ht="42" customHeight="1">
      <c r="B79" s="4" t="str">
        <f ca="1">IF(C79="","",INDEX(Rubricas!$F$4:$F$112,MATCH(C79,Rubricas!$A$4:$A$112,0)))</f>
        <v>Nivel de granularidad homogéneo</v>
      </c>
      <c r="C79" s="12" t="str">
        <f ca="1">IF(P79=0,"",INDEX(INDIRECT("'"&amp;$C$3&amp;"'!$A$80:$A$240"),MATCH(P79,INDIRECT("'"&amp;$C$3&amp;"'!$K$80:$K$240"),0)))</f>
        <v>D3.02</v>
      </c>
      <c r="D79" s="9">
        <f ca="1">IF(C79="","",IF(INDEX(INDIRECT("'"&amp;$C$3&amp;"'!$F$80:$F$240"),MATCH(P79,INDIRECT("'"&amp;$C$3&amp;"'!$K$80:$K$240"),0))="","Sin evaluar",INDEX(INDIRECT("'"&amp;$C$3&amp;"'!$F$80:$F$240"),MATCH(P79,INDIRECT("'"&amp;$C$3&amp;"'!$K$80:$K$240"),0))))</f>
        <v>1</v>
      </c>
      <c r="E79" s="49" t="str">
        <f ca="1">IF(C79="","",INDEX(INDIRECT("'"&amp;$C$3&amp;"'!$C$80:$C$240"),MATCH(P79,INDIRECT("'"&amp;$C$3&amp;"'!$K$80:$K$240"),0)))</f>
        <v>Estrategia de medición</v>
      </c>
      <c r="F79" s="49"/>
      <c r="G79" s="49"/>
      <c r="H79" s="49"/>
      <c r="I79" s="49"/>
      <c r="J79" s="49"/>
      <c r="K79" s="49"/>
      <c r="L79" s="49"/>
      <c r="M79" s="49"/>
      <c r="N79" s="49"/>
      <c r="O79" s="4" t="str">
        <f ca="1">IF(C79="","",INDEX(INDIRECT("'"&amp;$C$3&amp;"'!$J$80:$J$240"),MATCH(P79,INDIRECT("'"&amp;$C$3&amp;"'!$K$80:$K$240"),0)))</f>
        <v>La granularidad de los requisitos es heterogénea; medir con requisitos a distinto nivel genera errores de tamaño. Normalizar al nivel de proceso funcional.</v>
      </c>
      <c r="P79" s="23">
        <f ca="1">LARGE(INDIRECT("'"&amp;$C$3&amp;"'!$K$80:$K$240"),10)</f>
        <v>72.001080000000002</v>
      </c>
    </row>
    <row r="82" spans="2:15">
      <c r="B82" s="50" t="s">
        <v>1562</v>
      </c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</row>
    <row r="83" spans="2:15" ht="15" customHeight="1">
      <c r="B83" s="5" t="s">
        <v>1563</v>
      </c>
      <c r="C83" s="5" t="s">
        <v>1266</v>
      </c>
      <c r="D83" s="34" t="s">
        <v>1564</v>
      </c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</row>
    <row r="84" spans="2:15" ht="30" customHeight="1">
      <c r="B84" s="4" t="str">
        <f ca="1">INDIRECT("'"&amp;$C$3&amp;"'!A61")&amp;" · "&amp;INDIRECT("'"&amp;$C$3&amp;"'!B61")</f>
        <v>V1 · Los porcentajes de composición del tipo de desarrollo suman 100%.</v>
      </c>
      <c r="C84" s="12" t="str">
        <f ca="1">INDIRECT("'"&amp;$C$3&amp;"'!E61")</f>
        <v>OK</v>
      </c>
      <c r="D84" s="49" t="str">
        <f ca="1">INDIRECT("'"&amp;$C$3&amp;"'!G61")</f>
        <v/>
      </c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</row>
    <row r="85" spans="2:15" ht="30" customHeight="1">
      <c r="B85" s="4" t="str">
        <f ca="1">INDIRECT("'"&amp;$C$3&amp;"'!A62")&amp;" · "&amp;INDIRECT("'"&amp;$C$3&amp;"'!B62")</f>
        <v>V2 · Si hay componente evolutivo, de modernización o mantenimiento, existe línea base del activo (D1.03).</v>
      </c>
      <c r="C85" s="12" t="str">
        <f ca="1">INDIRECT("'"&amp;$C$3&amp;"'!E62")</f>
        <v>⚠ Revisar</v>
      </c>
      <c r="D85" s="49" t="str">
        <f ca="1">INDIRECT("'"&amp;$C$3&amp;"'!G62")</f>
        <v>Se modifica un activo existente sin línea base funcional: D1.03 no debería ser N/A ni ≤ 1.</v>
      </c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</row>
    <row r="86" spans="2:15" ht="30" customHeight="1">
      <c r="B86" s="4" t="str">
        <f ca="1">INDIRECT("'"&amp;$C$3&amp;"'!A63")&amp;" · "&amp;INDIRECT("'"&amp;$C$3&amp;"'!B63")</f>
        <v>V3 · El arquetipo Modernización no convive con un tipo de desarrollo predominantemente nuevo.</v>
      </c>
      <c r="C86" s="12" t="str">
        <f ca="1">INDIRECT("'"&amp;$C$3&amp;"'!E63")</f>
        <v>OK</v>
      </c>
      <c r="D86" s="49" t="str">
        <f ca="1">INDIRECT("'"&amp;$C$3&amp;"'!G63")</f>
        <v/>
      </c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spans="2:15" ht="30" customHeight="1">
      <c r="B87" s="4" t="str">
        <f ca="1">INDIRECT("'"&amp;$C$3&amp;"'!A64")&amp;" · "&amp;INDIRECT("'"&amp;$C$3&amp;"'!B64")</f>
        <v>V4 · El arquetipo principal Integración tiene al menos 3 interfaces.</v>
      </c>
      <c r="C87" s="12" t="str">
        <f ca="1">INDIRECT("'"&amp;$C$3&amp;"'!E64")</f>
        <v>OK</v>
      </c>
      <c r="D87" s="49" t="str">
        <f ca="1">INDIRECT("'"&amp;$C$3&amp;"'!G64")</f>
        <v/>
      </c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</row>
    <row r="88" spans="2:15" ht="30" customHeight="1">
      <c r="B88" s="4" t="str">
        <f ca="1">INDIRECT("'"&amp;$C$3&amp;"'!A65")&amp;" · "&amp;INDIRECT("'"&amp;$C$3&amp;"'!B65")</f>
        <v>V5 · Si se declara Integración (principal o secundario) se registra el N° de interfaces.</v>
      </c>
      <c r="C88" s="12" t="str">
        <f ca="1">INDIRECT("'"&amp;$C$3&amp;"'!E65")</f>
        <v>OK</v>
      </c>
      <c r="D88" s="49" t="str">
        <f ca="1">INDIRECT("'"&amp;$C$3&amp;"'!G65")</f>
        <v/>
      </c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</row>
    <row r="89" spans="2:15" ht="30" customHeight="1">
      <c r="B89" s="4" t="str">
        <f ca="1">INDIRECT("'"&amp;$C$3&amp;"'!A66")&amp;" · "&amp;INDIRECT("'"&amp;$C$3&amp;"'!B66")</f>
        <v>V6 · Las interfaces declaradas cuentan con inventario (D5.01 ≥ 2).</v>
      </c>
      <c r="C89" s="12" t="str">
        <f ca="1">INDIRECT("'"&amp;$C$3&amp;"'!E66")</f>
        <v>OK</v>
      </c>
      <c r="D89" s="49" t="str">
        <f ca="1">INDIRECT("'"&amp;$C$3&amp;"'!G66")</f>
        <v/>
      </c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</row>
    <row r="90" spans="2:15" ht="30" customHeight="1">
      <c r="B90" s="4" t="str">
        <f ca="1">INDIRECT("'"&amp;$C$3&amp;"'!A67")&amp;" · "&amp;INDIRECT("'"&amp;$C$3&amp;"'!B67")</f>
        <v>V7 · El N° de procesos funcionales está respaldado por inventario (D3.05 ≥ 2).</v>
      </c>
      <c r="C90" s="12" t="str">
        <f ca="1">INDIRECT("'"&amp;$C$3&amp;"'!E67")</f>
        <v>OK</v>
      </c>
      <c r="D90" s="49" t="str">
        <f ca="1">INDIRECT("'"&amp;$C$3&amp;"'!G67")</f>
        <v/>
      </c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2:15" ht="30" customHeight="1">
      <c r="B91" s="4" t="str">
        <f ca="1">INDIRECT("'"&amp;$C$3&amp;"'!A68")&amp;" · "&amp;INDIRECT("'"&amp;$C$3&amp;"'!B68")</f>
        <v>V8 · Si el inventario de procesos está calificado (D3.05 ≥ 2) se registra la cantidad.</v>
      </c>
      <c r="C91" s="12" t="str">
        <f ca="1">INDIRECT("'"&amp;$C$3&amp;"'!E68")</f>
        <v>OK</v>
      </c>
      <c r="D91" s="49" t="str">
        <f ca="1">INDIRECT("'"&amp;$C$3&amp;"'!G68")</f>
        <v/>
      </c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</row>
    <row r="92" spans="2:15" ht="30" customHeight="1">
      <c r="B92" s="4" t="str">
        <f ca="1">INDIRECT("'"&amp;$C$3&amp;"'!A69")&amp;" · "&amp;INDIRECT("'"&amp;$C$3&amp;"'!B69")</f>
        <v>V9 · Seguridad calificada como crítica (factor = 2) tiene requisitos especificados (D4.06 ≥ 2).</v>
      </c>
      <c r="C92" s="12" t="str">
        <f ca="1">INDIRECT("'"&amp;$C$3&amp;"'!E69")</f>
        <v>⚠ Revisar</v>
      </c>
      <c r="D92" s="49" t="str">
        <f ca="1">INDIRECT("'"&amp;$C$3&amp;"'!G69")</f>
        <v>Se califica la seguridad como crítica sin requisitos especificados; la complejidad no está sustentada.</v>
      </c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  <row r="93" spans="2:15" ht="30" customHeight="1">
      <c r="B93" s="4" t="str">
        <f ca="1">INDIRECT("'"&amp;$C$3&amp;"'!A70")&amp;" · "&amp;INDIRECT("'"&amp;$C$3&amp;"'!B70")</f>
        <v>V10 · Reglas calificadas como complejas (factor = 2) están caracterizadas (D4.02 ≥ 2).</v>
      </c>
      <c r="C93" s="12" t="str">
        <f ca="1">INDIRECT("'"&amp;$C$3&amp;"'!E70")</f>
        <v>OK</v>
      </c>
      <c r="D93" s="49" t="str">
        <f ca="1">INDIRECT("'"&amp;$C$3&amp;"'!G70")</f>
        <v/>
      </c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</row>
    <row r="94" spans="2:15" ht="30" customHeight="1">
      <c r="B94" s="4" t="str">
        <f ca="1">INDIRECT("'"&amp;$C$3&amp;"'!A71")&amp;" · "&amp;INDIRECT("'"&amp;$C$3&amp;"'!B71")</f>
        <v>V11 · Reutilización alta (&gt; 70%) respaldada por la evaluación de los activos (D6.03 ≥ 2).</v>
      </c>
      <c r="C94" s="12" t="str">
        <f ca="1">INDIRECT("'"&amp;$C$3&amp;"'!E71")</f>
        <v>OK</v>
      </c>
      <c r="D94" s="49" t="str">
        <f ca="1">INDIRECT("'"&amp;$C$3&amp;"'!G71")</f>
        <v/>
      </c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2:15" ht="30" customHeight="1">
      <c r="B95" s="4" t="str">
        <f ca="1">INDIRECT("'"&amp;$C$3&amp;"'!A72")&amp;" · "&amp;INDIRECT("'"&amp;$C$3&amp;"'!B72")</f>
        <v>V12 · Tecnología T1 respaldada por la evaluación de familiaridad (D7.04 ≥ 2).</v>
      </c>
      <c r="C95" s="12" t="str">
        <f ca="1">INDIRECT("'"&amp;$C$3&amp;"'!E72")</f>
        <v>OK</v>
      </c>
      <c r="D95" s="49" t="str">
        <f ca="1">INDIRECT("'"&amp;$C$3&amp;"'!G72")</f>
        <v/>
      </c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</row>
    <row r="96" spans="2:15" ht="30" customHeight="1">
      <c r="B96" s="4" t="str">
        <f ca="1">INDIRECT("'"&amp;$C$3&amp;"'!A73")&amp;" · "&amp;INDIRECT("'"&amp;$C$3&amp;"'!B73")</f>
        <v>V13 · Con 4 o más comparables, sus datos están completos (D11.03 ≥ 2).</v>
      </c>
      <c r="C96" s="12" t="str">
        <f ca="1">INDIRECT("'"&amp;$C$3&amp;"'!E73")</f>
        <v>OK</v>
      </c>
      <c r="D96" s="49" t="str">
        <f ca="1">INDIRECT("'"&amp;$C$3&amp;"'!G73")</f>
        <v/>
      </c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</row>
    <row r="97" spans="2:15" ht="30" customHeight="1">
      <c r="B97" s="4" t="str">
        <f ca="1">INDIRECT("'"&amp;$C$3&amp;"'!A74")&amp;" · "&amp;INDIRECT("'"&amp;$C$3&amp;"'!B74")</f>
        <v>V14 · Un alcance M3/M4 es coherente con una madurez de tamaño ≥ umbral núcleo.</v>
      </c>
      <c r="C97" s="12" t="str">
        <f ca="1">INDIRECT("'"&amp;$C$3&amp;"'!E74")</f>
        <v>OK</v>
      </c>
      <c r="D97" s="49" t="str">
        <f ca="1">INDIRECT("'"&amp;$C$3&amp;"'!G74")</f>
        <v/>
      </c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</row>
    <row r="98" spans="2:15" ht="30" customHeight="1">
      <c r="B98" s="4" t="str">
        <f ca="1">INDIRECT("'"&amp;$C$3&amp;"'!A75")&amp;" · "&amp;INDIRECT("'"&amp;$C$3&amp;"'!B75")</f>
        <v>V15 · Integración I3 con ambientes de prueba de terceros confirmados (D5.09 ≥ 2).</v>
      </c>
      <c r="C98" s="12" t="str">
        <f ca="1">INDIRECT("'"&amp;$C$3&amp;"'!E75")</f>
        <v>OK</v>
      </c>
      <c r="D98" s="49" t="str">
        <f ca="1">INDIRECT("'"&amp;$C$3&amp;"'!G75")</f>
        <v/>
      </c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</row>
    <row r="99" spans="2:15">
      <c r="B99" s="1" t="s">
        <v>1565</v>
      </c>
      <c r="C99" s="12">
        <f ca="1">COUNTIF(C84:C98,"⚠ Revisar")</f>
        <v>2</v>
      </c>
    </row>
    <row r="102" spans="2:15">
      <c r="B102" s="50" t="s">
        <v>1566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</row>
    <row r="103" spans="2:15" ht="15" customHeight="1">
      <c r="B103" s="5" t="s">
        <v>1147</v>
      </c>
      <c r="C103" s="5" t="s">
        <v>1567</v>
      </c>
      <c r="D103" s="34" t="s">
        <v>1149</v>
      </c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5" t="s">
        <v>1568</v>
      </c>
    </row>
    <row r="104" spans="2:15" ht="30" customHeight="1">
      <c r="B104" s="10" t="str">
        <f>Parametros!B30</f>
        <v>N1 - Incipiente</v>
      </c>
      <c r="C104" s="26">
        <f>Parametros!A30</f>
        <v>0</v>
      </c>
      <c r="D104" s="49" t="str">
        <f>Parametros!D30</f>
        <v>Información insuficiente; la estimación sería una conjetura.</v>
      </c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" t="str">
        <f>Parametros!E30</f>
        <v>Juicio experto / Delphi con rango amplio; priorizar levantamiento de información antes de comprometer una cifra.</v>
      </c>
    </row>
    <row r="105" spans="2:15" ht="30" customHeight="1">
      <c r="B105" s="10" t="str">
        <f>Parametros!B31</f>
        <v>N2 - Preliminar</v>
      </c>
      <c r="C105" s="26">
        <f>Parametros!A31</f>
        <v>0.2</v>
      </c>
      <c r="D105" s="49" t="str">
        <f>Parametros!D31</f>
        <v>Visión general con vacíos críticos.</v>
      </c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" t="str">
        <f>Parametros!E31</f>
        <v>Juicio experto + analogía; estimación de orden de magnitud.</v>
      </c>
    </row>
    <row r="106" spans="2:15" ht="30" customHeight="1">
      <c r="B106" s="10" t="str">
        <f>Parametros!B32</f>
        <v>N3 - Intermedio</v>
      </c>
      <c r="C106" s="26">
        <f>Parametros!A32</f>
        <v>0.4</v>
      </c>
      <c r="D106" s="49" t="str">
        <f>Parametros!D32</f>
        <v>Alcance principal conocido; faltan detalles relevantes.</v>
      </c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" t="str">
        <f>Parametros!E32</f>
        <v>Analogía con histórico + descomposición (WBS); estimación preliminar.</v>
      </c>
    </row>
    <row r="107" spans="2:15" ht="30" customHeight="1">
      <c r="B107" s="10" t="str">
        <f>Parametros!B33</f>
        <v>N4 - Definido</v>
      </c>
      <c r="C107" s="26">
        <f>Parametros!A33</f>
        <v>0.6</v>
      </c>
      <c r="D107" s="49" t="str">
        <f>Parametros!D33</f>
        <v>Alcance definido y mayormente cuantificado.</v>
      </c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" t="str">
        <f>Parametros!E33</f>
        <v>Tamaño funcional + productividad histórica, contrastado con descomposición.</v>
      </c>
    </row>
    <row r="108" spans="2:15" ht="30" customHeight="1">
      <c r="B108" s="10" t="str">
        <f>Parametros!B34</f>
        <v>N5 - Validado</v>
      </c>
      <c r="C108" s="26">
        <f>Parametros!A34</f>
        <v>0.8</v>
      </c>
      <c r="D108" s="49" t="str">
        <f>Parametros!D34</f>
        <v>Información completa, cuantificada y validada.</v>
      </c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" t="str">
        <f>Parametros!E34</f>
        <v>Tamaño funcional + modelo paramétrico calibrado; desempeño empírico si el equipo es conocido.</v>
      </c>
    </row>
  </sheetData>
  <mergeCells count="66">
    <mergeCell ref="B1:O1"/>
    <mergeCell ref="D3:O3"/>
    <mergeCell ref="C5:O5"/>
    <mergeCell ref="C6:O6"/>
    <mergeCell ref="C7:O7"/>
    <mergeCell ref="C8:O8"/>
    <mergeCell ref="C9:O9"/>
    <mergeCell ref="C11:E11"/>
    <mergeCell ref="F11:N11"/>
    <mergeCell ref="C12:E12"/>
    <mergeCell ref="F12:N12"/>
    <mergeCell ref="B14:O14"/>
    <mergeCell ref="B48:O48"/>
    <mergeCell ref="C49:O49"/>
    <mergeCell ref="C50:O50"/>
    <mergeCell ref="C51:O51"/>
    <mergeCell ref="C52:O52"/>
    <mergeCell ref="C53:O53"/>
    <mergeCell ref="C54:O54"/>
    <mergeCell ref="C55:O55"/>
    <mergeCell ref="C56:O56"/>
    <mergeCell ref="C57:O57"/>
    <mergeCell ref="C58:O58"/>
    <mergeCell ref="C59:O59"/>
    <mergeCell ref="C60:O60"/>
    <mergeCell ref="C61:O61"/>
    <mergeCell ref="C62:O62"/>
    <mergeCell ref="C63:O63"/>
    <mergeCell ref="C64:O64"/>
    <mergeCell ref="C65:O65"/>
    <mergeCell ref="B68:O68"/>
    <mergeCell ref="E69:N69"/>
    <mergeCell ref="E70:N70"/>
    <mergeCell ref="E71:N71"/>
    <mergeCell ref="E72:N72"/>
    <mergeCell ref="E73:N73"/>
    <mergeCell ref="E74:N74"/>
    <mergeCell ref="E75:N75"/>
    <mergeCell ref="E76:N76"/>
    <mergeCell ref="E77:N77"/>
    <mergeCell ref="E78:N78"/>
    <mergeCell ref="E79:N79"/>
    <mergeCell ref="B82:O82"/>
    <mergeCell ref="D83:O83"/>
    <mergeCell ref="D84:O84"/>
    <mergeCell ref="D85:O85"/>
    <mergeCell ref="D86:O86"/>
    <mergeCell ref="D87:O87"/>
    <mergeCell ref="D88:O88"/>
    <mergeCell ref="D89:O89"/>
    <mergeCell ref="D90:O90"/>
    <mergeCell ref="D91:O91"/>
    <mergeCell ref="D92:O92"/>
    <mergeCell ref="D93:O93"/>
    <mergeCell ref="D94:O94"/>
    <mergeCell ref="D95:O95"/>
    <mergeCell ref="D96:O96"/>
    <mergeCell ref="D97:O97"/>
    <mergeCell ref="D98:O98"/>
    <mergeCell ref="B102:O102"/>
    <mergeCell ref="D103:N103"/>
    <mergeCell ref="D104:N104"/>
    <mergeCell ref="D105:N105"/>
    <mergeCell ref="D106:N106"/>
    <mergeCell ref="D107:N107"/>
    <mergeCell ref="D108:N108"/>
  </mergeCells>
  <conditionalFormatting sqref="E16:E2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C84:C98">
    <cfRule type="expression" dxfId="1" priority="3">
      <formula>C84="⚠ Revisar"</formula>
    </cfRule>
    <cfRule type="expression" dxfId="0" priority="4">
      <formula>C84="OK"</formula>
    </cfRule>
  </conditionalFormatting>
  <dataValidations count="1">
    <dataValidation type="list" sqref="C3" xr:uid="{00000000-0002-0000-0600-000000000000}">
      <formula1>"Ejemplo,Ficha"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"/>
  <sheetViews>
    <sheetView zoomScale="90" zoomScaleNormal="90" workbookViewId="0"/>
  </sheetViews>
  <sheetFormatPr defaultColWidth="8.7109375" defaultRowHeight="15"/>
  <cols>
    <col min="1" max="1" width="30" customWidth="1"/>
    <col min="2" max="2" width="90" customWidth="1"/>
    <col min="3" max="3" width="26" customWidth="1"/>
  </cols>
  <sheetData>
    <row r="1" spans="1:3" ht="27.75" customHeight="1">
      <c r="A1" s="47" t="s">
        <v>1569</v>
      </c>
      <c r="B1" s="47"/>
      <c r="C1" s="47"/>
    </row>
    <row r="2" spans="1:3" ht="30" customHeight="1">
      <c r="A2" s="48" t="s">
        <v>1570</v>
      </c>
      <c r="B2" s="48"/>
      <c r="C2" s="48"/>
    </row>
    <row r="3" spans="1:3">
      <c r="A3" s="5" t="s">
        <v>1571</v>
      </c>
      <c r="B3" s="5" t="s">
        <v>1572</v>
      </c>
      <c r="C3" s="5" t="s">
        <v>1573</v>
      </c>
    </row>
    <row r="4" spans="1:3">
      <c r="A4" s="10" t="s">
        <v>1574</v>
      </c>
      <c r="B4" s="4" t="s">
        <v>1575</v>
      </c>
      <c r="C4" s="4" t="s">
        <v>365</v>
      </c>
    </row>
    <row r="5" spans="1:3">
      <c r="A5" s="10" t="s">
        <v>1576</v>
      </c>
      <c r="B5" s="4" t="s">
        <v>1577</v>
      </c>
      <c r="C5" s="4" t="s">
        <v>1578</v>
      </c>
    </row>
    <row r="6" spans="1:3" ht="23.85">
      <c r="A6" s="10" t="s">
        <v>1579</v>
      </c>
      <c r="B6" s="4" t="s">
        <v>1580</v>
      </c>
      <c r="C6" s="4" t="s">
        <v>212</v>
      </c>
    </row>
    <row r="7" spans="1:3" ht="23.85">
      <c r="A7" s="10" t="s">
        <v>1581</v>
      </c>
      <c r="B7" s="4" t="s">
        <v>1582</v>
      </c>
      <c r="C7" s="4" t="s">
        <v>1583</v>
      </c>
    </row>
    <row r="8" spans="1:3">
      <c r="A8" s="10" t="s">
        <v>1584</v>
      </c>
      <c r="B8" s="4" t="s">
        <v>1585</v>
      </c>
      <c r="C8" s="4" t="s">
        <v>1586</v>
      </c>
    </row>
    <row r="9" spans="1:3">
      <c r="A9" s="10" t="s">
        <v>1587</v>
      </c>
      <c r="B9" s="4" t="s">
        <v>1588</v>
      </c>
      <c r="C9" s="4" t="s">
        <v>1589</v>
      </c>
    </row>
    <row r="10" spans="1:3">
      <c r="A10" s="10" t="s">
        <v>1590</v>
      </c>
      <c r="B10" s="4" t="s">
        <v>1591</v>
      </c>
      <c r="C10" s="4" t="s">
        <v>391</v>
      </c>
    </row>
    <row r="11" spans="1:3" ht="23.85">
      <c r="A11" s="10" t="s">
        <v>1592</v>
      </c>
      <c r="B11" s="4" t="s">
        <v>1593</v>
      </c>
      <c r="C11" s="4" t="s">
        <v>1594</v>
      </c>
    </row>
    <row r="12" spans="1:3">
      <c r="A12" s="10" t="s">
        <v>1595</v>
      </c>
      <c r="B12" s="4" t="s">
        <v>1596</v>
      </c>
      <c r="C12" s="4" t="s">
        <v>409</v>
      </c>
    </row>
    <row r="13" spans="1:3">
      <c r="A13" s="10" t="s">
        <v>1597</v>
      </c>
      <c r="B13" s="4" t="s">
        <v>1598</v>
      </c>
      <c r="C13" s="4" t="s">
        <v>1599</v>
      </c>
    </row>
    <row r="14" spans="1:3" ht="23.85">
      <c r="A14" s="10" t="s">
        <v>1600</v>
      </c>
      <c r="B14" s="4" t="s">
        <v>1601</v>
      </c>
      <c r="C14" s="4" t="s">
        <v>1602</v>
      </c>
    </row>
    <row r="15" spans="1:3">
      <c r="A15" s="10" t="s">
        <v>1603</v>
      </c>
      <c r="B15" s="4" t="s">
        <v>1604</v>
      </c>
      <c r="C15" s="4" t="s">
        <v>1605</v>
      </c>
    </row>
    <row r="16" spans="1:3">
      <c r="A16" s="10" t="s">
        <v>1606</v>
      </c>
      <c r="B16" s="4" t="s">
        <v>1607</v>
      </c>
      <c r="C16" s="4" t="s">
        <v>1608</v>
      </c>
    </row>
    <row r="17" spans="1:3">
      <c r="A17" s="10" t="s">
        <v>1609</v>
      </c>
      <c r="B17" s="4" t="s">
        <v>1610</v>
      </c>
      <c r="C17" s="4" t="s">
        <v>418</v>
      </c>
    </row>
    <row r="18" spans="1:3">
      <c r="A18" s="10" t="s">
        <v>1611</v>
      </c>
      <c r="B18" s="4" t="s">
        <v>1612</v>
      </c>
      <c r="C18" s="4" t="s">
        <v>418</v>
      </c>
    </row>
    <row r="19" spans="1:3" ht="23.85">
      <c r="A19" s="10" t="s">
        <v>1613</v>
      </c>
      <c r="B19" s="4" t="s">
        <v>1614</v>
      </c>
      <c r="C19" s="4" t="s">
        <v>505</v>
      </c>
    </row>
    <row r="20" spans="1:3">
      <c r="A20" s="10" t="s">
        <v>1615</v>
      </c>
      <c r="B20" s="4" t="s">
        <v>1616</v>
      </c>
      <c r="C20" s="4" t="s">
        <v>374</v>
      </c>
    </row>
    <row r="21" spans="1:3">
      <c r="A21" s="10" t="s">
        <v>1617</v>
      </c>
      <c r="B21" s="4" t="s">
        <v>1618</v>
      </c>
      <c r="C21" s="4" t="s">
        <v>1619</v>
      </c>
    </row>
    <row r="22" spans="1:3">
      <c r="A22" s="10" t="s">
        <v>1620</v>
      </c>
      <c r="B22" s="4" t="s">
        <v>1621</v>
      </c>
      <c r="C22" s="4" t="s">
        <v>1622</v>
      </c>
    </row>
    <row r="23" spans="1:3" ht="23.85">
      <c r="A23" s="10" t="s">
        <v>1623</v>
      </c>
      <c r="B23" s="4" t="s">
        <v>1624</v>
      </c>
      <c r="C23" s="4" t="s">
        <v>446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41cb70-b9f1-43bb-aabb-9adecbe1de27">
      <Terms xmlns="http://schemas.microsoft.com/office/infopath/2007/PartnerControls"/>
    </lcf76f155ced4ddcb4097134ff3c332f>
    <TaxCatchAll xmlns="a194cd4b-ddef-44a2-8301-7404f30d0b3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989927E9953B4A804423216DAFDA76" ma:contentTypeVersion="10" ma:contentTypeDescription="Crear nuevo documento." ma:contentTypeScope="" ma:versionID="2b1b02b08a189b014b8301b4766fde64">
  <xsd:schema xmlns:xsd="http://www.w3.org/2001/XMLSchema" xmlns:xs="http://www.w3.org/2001/XMLSchema" xmlns:p="http://schemas.microsoft.com/office/2006/metadata/properties" xmlns:ns2="3541cb70-b9f1-43bb-aabb-9adecbe1de27" xmlns:ns3="a194cd4b-ddef-44a2-8301-7404f30d0b3c" targetNamespace="http://schemas.microsoft.com/office/2006/metadata/properties" ma:root="true" ma:fieldsID="210183fa45afaf10c7a37e93e6dea501" ns2:_="" ns3:_="">
    <xsd:import namespace="3541cb70-b9f1-43bb-aabb-9adecbe1de27"/>
    <xsd:import namespace="a194cd4b-ddef-44a2-8301-7404f30d0b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41cb70-b9f1-43bb-aabb-9adecbe1de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a38e7027-190f-4f90-8839-9f8250567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4cd4b-ddef-44a2-8301-7404f30d0b3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d740d75-0216-4327-b522-565bb35277a0}" ma:internalName="TaxCatchAll" ma:showField="CatchAllData" ma:web="a194cd4b-ddef-44a2-8301-7404f30d0b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541344-9082-4B98-84B0-62B284364452}"/>
</file>

<file path=customXml/itemProps2.xml><?xml version="1.0" encoding="utf-8"?>
<ds:datastoreItem xmlns:ds="http://schemas.openxmlformats.org/officeDocument/2006/customXml" ds:itemID="{80F74BA8-C3B5-4657-9E1F-6A48DC9351A3}"/>
</file>

<file path=customXml/itemProps3.xml><?xml version="1.0" encoding="utf-8"?>
<ds:datastoreItem xmlns:ds="http://schemas.openxmlformats.org/officeDocument/2006/customXml" ds:itemID="{C9D45BBA-C57D-4FA7-81CE-4D0FA49259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Bryan Mauricio Guzman Garcia</cp:lastModifiedBy>
  <cp:revision>1</cp:revision>
  <dcterms:created xsi:type="dcterms:W3CDTF">2026-09-22T22:51:24Z</dcterms:created>
  <dcterms:modified xsi:type="dcterms:W3CDTF">2026-09-25T02:27:53Z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0x0101004D989927E9953B4A804423216DAFDA76</vt:lpwstr>
  </property>
  <property fmtid="{D5CDD505-2E9C-101B-9397-08002B2CF9AE}" pid="3" name="MediaServiceImageTags">
    <vt:lpwstr/>
  </property>
</Properties>
</file>